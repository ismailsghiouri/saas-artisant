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Statistiques" sheetId="2" state="visible" r:id="rId2"/>
    <sheet xmlns:r="http://schemas.openxmlformats.org/officeDocument/2006/relationships" name="Stratégie SE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  <font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7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7"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Nombre d'articles par catégorie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'Statistiques'!B4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'Statistiques'!$A$5:$A$8</f>
            </numRef>
          </cat>
          <val>
            <numRef>
              <f>'Statistiques'!$B$5:$B$8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Catégorie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Nb articles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Nombre d'articles par priorité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'Statistiques'!E4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'Statistiques'!$D$5:$D$7</f>
            </numRef>
          </cat>
          <val>
            <numRef>
              <f>'Statistiques'!$E$5:$E$7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Priority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Nb articles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20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rticlesTable" displayName="ArticlesTable" ref="A1:O51" headerRowCount="1">
  <autoFilter ref="A1:O51"/>
  <tableColumns count="15">
    <tableColumn id="1" name="ID"/>
    <tableColumn id="2" name="Titre article"/>
    <tableColumn id="3" name="Slug (URL)"/>
    <tableColumn id="4" name="Catégorie"/>
    <tableColumn id="5" name="Target keyword"/>
    <tableColumn id="6" name="Mots-clés secondaires"/>
    <tableColumn id="7" name="Longueur estimée (mots)"/>
    <tableColumn id="8" name="Type contenu"/>
    <tableColumn id="9" name="SEO Difficulty (0-100)"/>
    <tableColumn id="10" name="Potentiel trafic"/>
    <tableColumn id="11" name="Priority"/>
    <tableColumn id="12" name="Status"/>
    <tableColumn id="13" name="Date publication planifiée"/>
    <tableColumn id="14" name="Auteur assigné"/>
    <tableColumn id="15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0" customWidth="1" min="3" max="3"/>
    <col width="12" customWidth="1" min="4" max="4"/>
    <col width="26" customWidth="1" min="5" max="5"/>
    <col width="34" customWidth="1" min="6" max="6"/>
    <col width="12" customWidth="1" min="7" max="7"/>
    <col width="12" customWidth="1" min="8" max="8"/>
    <col width="14" customWidth="1" min="9" max="9"/>
    <col width="20" customWidth="1" min="10" max="10"/>
    <col width="10" customWidth="1" min="11" max="11"/>
    <col width="11" customWidth="1" min="12" max="12"/>
    <col width="16" customWidth="1" min="13" max="13"/>
    <col width="24" customWidth="1" min="14" max="14"/>
    <col width="34" customWidth="1" min="15" max="15"/>
  </cols>
  <sheetData>
    <row r="1" ht="32" customHeight="1">
      <c r="A1" s="1" t="inlineStr">
        <is>
          <t>ID</t>
        </is>
      </c>
      <c r="B1" s="1" t="inlineStr">
        <is>
          <t>Titre article</t>
        </is>
      </c>
      <c r="C1" s="1" t="inlineStr">
        <is>
          <t>Slug (URL)</t>
        </is>
      </c>
      <c r="D1" s="1" t="inlineStr">
        <is>
          <t>Catégorie</t>
        </is>
      </c>
      <c r="E1" s="1" t="inlineStr">
        <is>
          <t>Target keyword</t>
        </is>
      </c>
      <c r="F1" s="1" t="inlineStr">
        <is>
          <t>Mots-clés secondaires</t>
        </is>
      </c>
      <c r="G1" s="1" t="inlineStr">
        <is>
          <t>Longueur estimée (mots)</t>
        </is>
      </c>
      <c r="H1" s="1" t="inlineStr">
        <is>
          <t>Type contenu</t>
        </is>
      </c>
      <c r="I1" s="1" t="inlineStr">
        <is>
          <t>SEO Difficulty (0-100)</t>
        </is>
      </c>
      <c r="J1" s="1" t="inlineStr">
        <is>
          <t>Potentiel trafic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Date publication planifiée</t>
        </is>
      </c>
      <c r="N1" s="1" t="inlineStr">
        <is>
          <t>Auteur assigné</t>
        </is>
      </c>
      <c r="O1" s="1" t="inlineStr">
        <is>
          <t>Notes</t>
        </is>
      </c>
    </row>
    <row r="2">
      <c r="A2" s="2" t="n">
        <v>1</v>
      </c>
      <c r="B2" s="3" t="inlineStr">
        <is>
          <t>Comment déboucher un tuyau sans plombier : 7 méthodes efficaces</t>
        </is>
      </c>
      <c r="C2" s="3" t="inlineStr">
        <is>
          <t>plomberie/comment-deboucher-un-tuyau-sans-plombier-7-methodes-efficaces</t>
        </is>
      </c>
      <c r="D2" s="4" t="inlineStr">
        <is>
          <t>plomberie</t>
        </is>
      </c>
      <c r="E2" s="3" t="inlineStr">
        <is>
          <t>déboucher tuyau sans plombier</t>
        </is>
      </c>
      <c r="F2" s="3" t="inlineStr">
        <is>
          <t>déboucher canalisation maison, astuce plomberie</t>
        </is>
      </c>
      <c r="G2" s="2" t="n">
        <v>1800</v>
      </c>
      <c r="H2" s="2" t="inlineStr">
        <is>
          <t>how-to</t>
        </is>
      </c>
      <c r="I2" s="2" t="n">
        <v>38</v>
      </c>
      <c r="J2" s="2" t="inlineStr">
        <is>
          <t>Élevé (1000-1500/mois)</t>
        </is>
      </c>
      <c r="K2" s="2" t="inlineStr">
        <is>
          <t>haute</t>
        </is>
      </c>
      <c r="L2" s="2" t="inlineStr">
        <is>
          <t>published</t>
        </is>
      </c>
      <c r="M2" s="5" t="n">
        <v>46237</v>
      </c>
      <c r="N2" s="2" t="inlineStr">
        <is>
          <t>Karim (Expert Plomberie)</t>
        </is>
      </c>
      <c r="O2" s="3" t="inlineStr">
        <is>
          <t>Article pilier plomberie, cibler featured snippet</t>
        </is>
      </c>
    </row>
    <row r="3">
      <c r="A3" s="2" t="n">
        <v>2</v>
      </c>
      <c r="B3" s="3" t="inlineStr">
        <is>
          <t>Réparer un robinet qui fuit : guide étape par étape</t>
        </is>
      </c>
      <c r="C3" s="3" t="inlineStr">
        <is>
          <t>plomberie/reparer-un-robinet-qui-fuit-guide-etape-par-etape</t>
        </is>
      </c>
      <c r="D3" s="4" t="inlineStr">
        <is>
          <t>plomberie</t>
        </is>
      </c>
      <c r="E3" s="3" t="inlineStr">
        <is>
          <t>réparer robinet qui fuit</t>
        </is>
      </c>
      <c r="F3" s="3" t="inlineStr">
        <is>
          <t>robinet qui goutte solution, joint robinet</t>
        </is>
      </c>
      <c r="G3" s="2" t="n">
        <v>1600</v>
      </c>
      <c r="H3" s="2" t="inlineStr">
        <is>
          <t>how-to</t>
        </is>
      </c>
      <c r="I3" s="2" t="n">
        <v>32</v>
      </c>
      <c r="J3" s="2" t="inlineStr">
        <is>
          <t>Élevé (900-1300/mois)</t>
        </is>
      </c>
      <c r="K3" s="2" t="inlineStr">
        <is>
          <t>haute</t>
        </is>
      </c>
      <c r="L3" s="2" t="inlineStr">
        <is>
          <t>writing</t>
        </is>
      </c>
      <c r="M3" s="5" t="n">
        <v>46237</v>
      </c>
      <c r="N3" s="2" t="inlineStr">
        <is>
          <t>Karim (Expert Plomberie)</t>
        </is>
      </c>
      <c r="O3" s="3" t="inlineStr">
        <is>
          <t>Ajouter schéma + vidéo courte</t>
        </is>
      </c>
    </row>
    <row r="4">
      <c r="A4" s="2" t="n">
        <v>3</v>
      </c>
      <c r="B4" s="3" t="inlineStr">
        <is>
          <t>Installer une baignoire soi-même : guide complet 2026</t>
        </is>
      </c>
      <c r="C4" s="3" t="inlineStr">
        <is>
          <t>plomberie/installer-une-baignoire-soi-meme-guide-complet-2026</t>
        </is>
      </c>
      <c r="D4" s="4" t="inlineStr">
        <is>
          <t>plomberie</t>
        </is>
      </c>
      <c r="E4" s="3" t="inlineStr">
        <is>
          <t>installer baignoire soi-même</t>
        </is>
      </c>
      <c r="F4" s="3" t="inlineStr">
        <is>
          <t>pose baignoire tutoriel, plomberie salle de bain</t>
        </is>
      </c>
      <c r="G4" s="2" t="n">
        <v>2000</v>
      </c>
      <c r="H4" s="2" t="inlineStr">
        <is>
          <t>guide</t>
        </is>
      </c>
      <c r="I4" s="2" t="n">
        <v>45</v>
      </c>
      <c r="J4" s="2" t="inlineStr">
        <is>
          <t>Moyen (300-500/mois)</t>
        </is>
      </c>
      <c r="K4" s="2" t="inlineStr">
        <is>
          <t>moyenne</t>
        </is>
      </c>
      <c r="L4" s="2" t="inlineStr">
        <is>
          <t>draft</t>
        </is>
      </c>
      <c r="M4" s="5" t="n">
        <v>46293</v>
      </c>
      <c r="N4" s="2" t="inlineStr">
        <is>
          <t>Karim (Expert Plomberie)</t>
        </is>
      </c>
      <c r="O4" s="3" t="inlineStr">
        <is>
          <t>Prévoir avertissement sécurité / recommander pro si complexe</t>
        </is>
      </c>
    </row>
    <row r="5">
      <c r="A5" s="2" t="n">
        <v>4</v>
      </c>
      <c r="B5" s="3" t="inlineStr">
        <is>
          <t>Enlever le calcaire dans les tuyauteries : solutions naturelles</t>
        </is>
      </c>
      <c r="C5" s="3" t="inlineStr">
        <is>
          <t>plomberie/enlever-le-calcaire-dans-les-tuyauteries-solutions-naturelles</t>
        </is>
      </c>
      <c r="D5" s="4" t="inlineStr">
        <is>
          <t>plomberie</t>
        </is>
      </c>
      <c r="E5" s="3" t="inlineStr">
        <is>
          <t>enlever calcaire tuyauterie</t>
        </is>
      </c>
      <c r="F5" s="3" t="inlineStr">
        <is>
          <t>calcaire eau Maroc, détartrer canalisation</t>
        </is>
      </c>
      <c r="G5" s="2" t="n">
        <v>1500</v>
      </c>
      <c r="H5" s="2" t="inlineStr">
        <is>
          <t>tips</t>
        </is>
      </c>
      <c r="I5" s="2" t="n">
        <v>28</v>
      </c>
      <c r="J5" s="2" t="inlineStr">
        <is>
          <t>Moyen (400-600/mois)</t>
        </is>
      </c>
      <c r="K5" s="2" t="inlineStr">
        <is>
          <t>moyenne</t>
        </is>
      </c>
      <c r="L5" s="2" t="inlineStr">
        <is>
          <t>draft</t>
        </is>
      </c>
      <c r="M5" s="5" t="n">
        <v>46300</v>
      </c>
      <c r="N5" s="2" t="inlineStr">
        <is>
          <t>Nadia (Redactrice)</t>
        </is>
      </c>
      <c r="O5" s="3" t="inlineStr">
        <is>
          <t>Lien interne vers article entretien plomberie</t>
        </is>
      </c>
    </row>
    <row r="6">
      <c r="A6" s="2" t="n">
        <v>5</v>
      </c>
      <c r="B6" s="3" t="inlineStr">
        <is>
          <t>Urgence plomberie à 3h du matin : les bons réflexes</t>
        </is>
      </c>
      <c r="C6" s="3" t="inlineStr">
        <is>
          <t>plomberie/urgence-plomberie-a-3h-du-matin-les-bons-reflexes</t>
        </is>
      </c>
      <c r="D6" s="4" t="inlineStr">
        <is>
          <t>plomberie</t>
        </is>
      </c>
      <c r="E6" s="3" t="inlineStr">
        <is>
          <t>urgence plomberie nuit Maroc</t>
        </is>
      </c>
      <c r="F6" s="3" t="inlineStr">
        <is>
          <t>plombier urgence 24h/24, fuite eau nuit</t>
        </is>
      </c>
      <c r="G6" s="2" t="n">
        <v>1400</v>
      </c>
      <c r="H6" s="2" t="inlineStr">
        <is>
          <t>guide</t>
        </is>
      </c>
      <c r="I6" s="2" t="n">
        <v>25</v>
      </c>
      <c r="J6" s="2" t="inlineStr">
        <is>
          <t>Élevé (700-1000/mois)</t>
        </is>
      </c>
      <c r="K6" s="2" t="inlineStr">
        <is>
          <t>haute</t>
        </is>
      </c>
      <c r="L6" s="2" t="inlineStr">
        <is>
          <t>review</t>
        </is>
      </c>
      <c r="M6" s="5" t="n">
        <v>46244</v>
      </c>
      <c r="N6" s="2" t="inlineStr">
        <is>
          <t>Sara (Redactrice SEO)</t>
        </is>
      </c>
      <c r="O6" s="3" t="inlineStr">
        <is>
          <t>CTA fort vers réservation urgente FixNow</t>
        </is>
      </c>
    </row>
    <row r="7">
      <c r="A7" s="2" t="n">
        <v>6</v>
      </c>
      <c r="B7" s="3" t="inlineStr">
        <is>
          <t>Fuite d'eau sous l'évier : causes et solutions rapides</t>
        </is>
      </c>
      <c r="C7" s="3" t="inlineStr">
        <is>
          <t>plomberie/fuite-d-eau-sous-l-evier-causes-et-solutions-rapides</t>
        </is>
      </c>
      <c r="D7" s="4" t="inlineStr">
        <is>
          <t>plomberie</t>
        </is>
      </c>
      <c r="E7" s="3" t="inlineStr">
        <is>
          <t>fuite eau évier cuisine</t>
        </is>
      </c>
      <c r="F7" s="3" t="inlineStr">
        <is>
          <t>siphon qui fuit, réparation évier</t>
        </is>
      </c>
      <c r="G7" s="2" t="n">
        <v>1500</v>
      </c>
      <c r="H7" s="2" t="inlineStr">
        <is>
          <t>how-to</t>
        </is>
      </c>
      <c r="I7" s="2" t="n">
        <v>30</v>
      </c>
      <c r="J7" s="2" t="inlineStr">
        <is>
          <t>Moyen (500-700/mois)</t>
        </is>
      </c>
      <c r="K7" s="2" t="inlineStr">
        <is>
          <t>moyenne</t>
        </is>
      </c>
      <c r="L7" s="2" t="inlineStr">
        <is>
          <t>draft</t>
        </is>
      </c>
      <c r="M7" s="5" t="n">
        <v>46300</v>
      </c>
      <c r="N7" s="2" t="inlineStr">
        <is>
          <t>Karim (Expert Plomberie)</t>
        </is>
      </c>
      <c r="O7" s="3" t="inlineStr"/>
    </row>
    <row r="8">
      <c r="A8" s="2" t="n">
        <v>7</v>
      </c>
      <c r="B8" s="3" t="inlineStr">
        <is>
          <t>Chauffe-eau qui ne chauffe plus : diagnostic complet</t>
        </is>
      </c>
      <c r="C8" s="3" t="inlineStr">
        <is>
          <t>plomberie/chauffe-eau-qui-ne-chauffe-plus-diagnostic-complet</t>
        </is>
      </c>
      <c r="D8" s="4" t="inlineStr">
        <is>
          <t>plomberie</t>
        </is>
      </c>
      <c r="E8" s="3" t="inlineStr">
        <is>
          <t>chauffe-eau ne chauffe plus</t>
        </is>
      </c>
      <c r="F8" s="3" t="inlineStr">
        <is>
          <t>panne chauffe-eau solution, réparer ballon eau chaude</t>
        </is>
      </c>
      <c r="G8" s="2" t="n">
        <v>1700</v>
      </c>
      <c r="H8" s="2" t="inlineStr">
        <is>
          <t>guide</t>
        </is>
      </c>
      <c r="I8" s="2" t="n">
        <v>35</v>
      </c>
      <c r="J8" s="2" t="inlineStr">
        <is>
          <t>Élevé (800-1200/mois)</t>
        </is>
      </c>
      <c r="K8" s="2" t="inlineStr">
        <is>
          <t>haute</t>
        </is>
      </c>
      <c r="L8" s="2" t="inlineStr">
        <is>
          <t>draft</t>
        </is>
      </c>
      <c r="M8" s="5" t="n">
        <v>46244</v>
      </c>
      <c r="N8" s="2" t="inlineStr">
        <is>
          <t>Karim (Expert Plomberie)</t>
        </is>
      </c>
      <c r="O8" s="3" t="inlineStr">
        <is>
          <t>Forte intention de réservation, article prioritaire</t>
        </is>
      </c>
    </row>
    <row r="9">
      <c r="A9" s="2" t="n">
        <v>8</v>
      </c>
      <c r="B9" s="3" t="inlineStr">
        <is>
          <t>Combien coûte un plombier à Casablanca en 2026 ?</t>
        </is>
      </c>
      <c r="C9" s="3" t="inlineStr">
        <is>
          <t>plomberie/combien-coute-un-plombier-a-casablanca-en-2026</t>
        </is>
      </c>
      <c r="D9" s="4" t="inlineStr">
        <is>
          <t>plomberie</t>
        </is>
      </c>
      <c r="E9" s="3" t="inlineStr">
        <is>
          <t>prix plombier Casablanca</t>
        </is>
      </c>
      <c r="F9" s="3" t="inlineStr">
        <is>
          <t>tarif plombier Maroc, devis plomberie Casablanca</t>
        </is>
      </c>
      <c r="G9" s="2" t="n">
        <v>1300</v>
      </c>
      <c r="H9" s="2" t="inlineStr">
        <is>
          <t>guide</t>
        </is>
      </c>
      <c r="I9" s="2" t="n">
        <v>22</v>
      </c>
      <c r="J9" s="2" t="inlineStr">
        <is>
          <t>Élevé (1200-1800/mois)</t>
        </is>
      </c>
      <c r="K9" s="2" t="inlineStr">
        <is>
          <t>haute</t>
        </is>
      </c>
      <c r="L9" s="2" t="inlineStr">
        <is>
          <t>draft</t>
        </is>
      </c>
      <c r="M9" s="5" t="n">
        <v>46251</v>
      </c>
      <c r="N9" s="2" t="inlineStr">
        <is>
          <t>Sara (Redactrice SEO)</t>
        </is>
      </c>
      <c r="O9" s="3" t="inlineStr">
        <is>
          <t>SEO local fort, dupliquer pour Rabat/Fès/Marrakech</t>
        </is>
      </c>
    </row>
    <row r="10">
      <c r="A10" s="2" t="n">
        <v>9</v>
      </c>
      <c r="B10" s="3" t="inlineStr">
        <is>
          <t>WC bouché : 7 astuces pour le déboucher soi-même</t>
        </is>
      </c>
      <c r="C10" s="3" t="inlineStr">
        <is>
          <t>plomberie/wc-bouche-7-astuces-pour-le-deboucher-soi-meme</t>
        </is>
      </c>
      <c r="D10" s="4" t="inlineStr">
        <is>
          <t>plomberie</t>
        </is>
      </c>
      <c r="E10" s="3" t="inlineStr">
        <is>
          <t>wc bouché que faire</t>
        </is>
      </c>
      <c r="F10" s="3" t="inlineStr">
        <is>
          <t>déboucher toilettes maison, ventouse wc</t>
        </is>
      </c>
      <c r="G10" s="2" t="n">
        <v>1400</v>
      </c>
      <c r="H10" s="2" t="inlineStr">
        <is>
          <t>tips</t>
        </is>
      </c>
      <c r="I10" s="2" t="n">
        <v>27</v>
      </c>
      <c r="J10" s="2" t="inlineStr">
        <is>
          <t>Élevé (900-1300/mois)</t>
        </is>
      </c>
      <c r="K10" s="2" t="inlineStr">
        <is>
          <t>moyenne</t>
        </is>
      </c>
      <c r="L10" s="2" t="inlineStr">
        <is>
          <t>draft</t>
        </is>
      </c>
      <c r="M10" s="5" t="n">
        <v>46307</v>
      </c>
      <c r="N10" s="2" t="inlineStr">
        <is>
          <t>Nadia (Redactrice)</t>
        </is>
      </c>
      <c r="O10" s="3" t="inlineStr"/>
    </row>
    <row r="11">
      <c r="A11" s="2" t="n">
        <v>10</v>
      </c>
      <c r="B11" s="3" t="inlineStr">
        <is>
          <t>Choisir le bon plombier à Fès : guide complet</t>
        </is>
      </c>
      <c r="C11" s="3" t="inlineStr">
        <is>
          <t>plomberie/choisir-le-bon-plombier-a-fes-guide-complet</t>
        </is>
      </c>
      <c r="D11" s="4" t="inlineStr">
        <is>
          <t>plomberie</t>
        </is>
      </c>
      <c r="E11" s="3" t="inlineStr">
        <is>
          <t>meilleur plombier Fès</t>
        </is>
      </c>
      <c r="F11" s="3" t="inlineStr">
        <is>
          <t>plombier Fès avis, artisan plomberie Fès</t>
        </is>
      </c>
      <c r="G11" s="2" t="n">
        <v>1300</v>
      </c>
      <c r="H11" s="2" t="inlineStr">
        <is>
          <t>guide</t>
        </is>
      </c>
      <c r="I11" s="2" t="n">
        <v>20</v>
      </c>
      <c r="J11" s="2" t="inlineStr">
        <is>
          <t>Moyen (300-500/mois)</t>
        </is>
      </c>
      <c r="K11" s="2" t="inlineStr">
        <is>
          <t>basse</t>
        </is>
      </c>
      <c r="L11" s="2" t="inlineStr">
        <is>
          <t>draft</t>
        </is>
      </c>
      <c r="M11" s="5" t="n">
        <v>46370</v>
      </c>
      <c r="N11" s="2" t="inlineStr">
        <is>
          <t>Sara (Redactrice SEO)</t>
        </is>
      </c>
      <c r="O11" s="3" t="inlineStr">
        <is>
          <t>Décliner par ville prioritaire ensuite</t>
        </is>
      </c>
    </row>
    <row r="12">
      <c r="A12" s="2" t="n">
        <v>11</v>
      </c>
      <c r="B12" s="3" t="inlineStr">
        <is>
          <t>Pression d'eau faible dans la maison : solutions</t>
        </is>
      </c>
      <c r="C12" s="3" t="inlineStr">
        <is>
          <t>plomberie/pression-d-eau-faible-dans-la-maison-solutions</t>
        </is>
      </c>
      <c r="D12" s="4" t="inlineStr">
        <is>
          <t>plomberie</t>
        </is>
      </c>
      <c r="E12" s="3" t="inlineStr">
        <is>
          <t>pression eau faible maison</t>
        </is>
      </c>
      <c r="F12" s="3" t="inlineStr">
        <is>
          <t>augmenter pression eau robinet, problème pression Maroc</t>
        </is>
      </c>
      <c r="G12" s="2" t="n">
        <v>1500</v>
      </c>
      <c r="H12" s="2" t="inlineStr">
        <is>
          <t>how-to</t>
        </is>
      </c>
      <c r="I12" s="2" t="n">
        <v>26</v>
      </c>
      <c r="J12" s="2" t="inlineStr">
        <is>
          <t>Moyen (400-600/mois)</t>
        </is>
      </c>
      <c r="K12" s="2" t="inlineStr">
        <is>
          <t>moyenne</t>
        </is>
      </c>
      <c r="L12" s="2" t="inlineStr">
        <is>
          <t>draft</t>
        </is>
      </c>
      <c r="M12" s="5" t="n">
        <v>46307</v>
      </c>
      <c r="N12" s="2" t="inlineStr">
        <is>
          <t>Karim (Expert Plomberie)</t>
        </is>
      </c>
      <c r="O12" s="3" t="inlineStr"/>
    </row>
    <row r="13">
      <c r="A13" s="2" t="n">
        <v>12</v>
      </c>
      <c r="B13" s="3" t="inlineStr">
        <is>
          <t>Entretien annuel de la plomberie : checklist complète</t>
        </is>
      </c>
      <c r="C13" s="3" t="inlineStr">
        <is>
          <t>plomberie/entretien-annuel-de-la-plomberie-checklist-complete</t>
        </is>
      </c>
      <c r="D13" s="4" t="inlineStr">
        <is>
          <t>plomberie</t>
        </is>
      </c>
      <c r="E13" s="3" t="inlineStr">
        <is>
          <t>entretien plomberie maison</t>
        </is>
      </c>
      <c r="F13" s="3" t="inlineStr">
        <is>
          <t>checklist plomberie maison, prévenir fuite eau</t>
        </is>
      </c>
      <c r="G13" s="2" t="n">
        <v>1600</v>
      </c>
      <c r="H13" s="2" t="inlineStr">
        <is>
          <t>guide</t>
        </is>
      </c>
      <c r="I13" s="2" t="n">
        <v>24</v>
      </c>
      <c r="J13" s="2" t="inlineStr">
        <is>
          <t>Faible (150-300/mois)</t>
        </is>
      </c>
      <c r="K13" s="2" t="inlineStr">
        <is>
          <t>basse</t>
        </is>
      </c>
      <c r="L13" s="2" t="inlineStr">
        <is>
          <t>draft</t>
        </is>
      </c>
      <c r="M13" s="5" t="n">
        <v>46370</v>
      </c>
      <c r="N13" s="2" t="inlineStr">
        <is>
          <t>Nadia (Redactrice)</t>
        </is>
      </c>
      <c r="O13" s="3" t="inlineStr">
        <is>
          <t>Contenu evergreen, lien interne vers plusieurs articles</t>
        </is>
      </c>
    </row>
    <row r="14">
      <c r="A14" s="2" t="n">
        <v>13</v>
      </c>
      <c r="B14" s="3" t="inlineStr">
        <is>
          <t>Comment changer une prise électrique au Maroc : tutoriel sécurisé</t>
        </is>
      </c>
      <c r="C14" s="3" t="inlineStr">
        <is>
          <t>electricite/comment-changer-une-prise-electrique-au-maroc-tutoriel-securise</t>
        </is>
      </c>
      <c r="D14" s="6" t="inlineStr">
        <is>
          <t>électricité</t>
        </is>
      </c>
      <c r="E14" s="3" t="inlineStr">
        <is>
          <t>changer prise électrique Maroc</t>
        </is>
      </c>
      <c r="F14" s="3" t="inlineStr">
        <is>
          <t>installer prise électrique maison, norme électrique Maroc</t>
        </is>
      </c>
      <c r="G14" s="2" t="n">
        <v>1700</v>
      </c>
      <c r="H14" s="2" t="inlineStr">
        <is>
          <t>how-to</t>
        </is>
      </c>
      <c r="I14" s="2" t="n">
        <v>30</v>
      </c>
      <c r="J14" s="2" t="inlineStr">
        <is>
          <t>Élevé (700-1000/mois)</t>
        </is>
      </c>
      <c r="K14" s="2" t="inlineStr">
        <is>
          <t>haute</t>
        </is>
      </c>
      <c r="L14" s="2" t="inlineStr">
        <is>
          <t>writing</t>
        </is>
      </c>
      <c r="M14" s="5" t="n">
        <v>46251</v>
      </c>
      <c r="N14" s="2" t="inlineStr">
        <is>
          <t>Yassine (Expert Électricité)</t>
        </is>
      </c>
      <c r="O14" s="3" t="inlineStr">
        <is>
          <t>Insister sur sécurité / couper le disjoncteur</t>
        </is>
      </c>
    </row>
    <row r="15">
      <c r="A15" s="2" t="n">
        <v>14</v>
      </c>
      <c r="B15" s="3" t="inlineStr">
        <is>
          <t>Installer une suspension ou un lustre soi-même</t>
        </is>
      </c>
      <c r="C15" s="3" t="inlineStr">
        <is>
          <t>electricite/installer-une-suspension-ou-un-lustre-soi-meme</t>
        </is>
      </c>
      <c r="D15" s="6" t="inlineStr">
        <is>
          <t>électricité</t>
        </is>
      </c>
      <c r="E15" s="3" t="inlineStr">
        <is>
          <t>installer suspension lampe plafond</t>
        </is>
      </c>
      <c r="F15" s="3" t="inlineStr">
        <is>
          <t>poser luminaire plafond, câblage suspension</t>
        </is>
      </c>
      <c r="G15" s="2" t="n">
        <v>1500</v>
      </c>
      <c r="H15" s="2" t="inlineStr">
        <is>
          <t>how-to</t>
        </is>
      </c>
      <c r="I15" s="2" t="n">
        <v>25</v>
      </c>
      <c r="J15" s="2" t="inlineStr">
        <is>
          <t>Moyen (400-600/mois)</t>
        </is>
      </c>
      <c r="K15" s="2" t="inlineStr">
        <is>
          <t>moyenne</t>
        </is>
      </c>
      <c r="L15" s="2" t="inlineStr">
        <is>
          <t>draft</t>
        </is>
      </c>
      <c r="M15" s="5" t="n">
        <v>46314</v>
      </c>
      <c r="N15" s="2" t="inlineStr">
        <is>
          <t>Yassine (Expert Électricité)</t>
        </is>
      </c>
      <c r="O15" s="3" t="inlineStr"/>
    </row>
    <row r="16">
      <c r="A16" s="2" t="n">
        <v>15</v>
      </c>
      <c r="B16" s="3" t="inlineStr">
        <is>
          <t>Disjoncteur qui saute : causes et solutions</t>
        </is>
      </c>
      <c r="C16" s="3" t="inlineStr">
        <is>
          <t>electricite/disjoncteur-qui-saute-causes-et-solutions</t>
        </is>
      </c>
      <c r="D16" s="6" t="inlineStr">
        <is>
          <t>électricité</t>
        </is>
      </c>
      <c r="E16" s="3" t="inlineStr">
        <is>
          <t>disjoncteur qui saute solution</t>
        </is>
      </c>
      <c r="F16" s="3" t="inlineStr">
        <is>
          <t>coupure électrique disjoncteur, court-circuit maison</t>
        </is>
      </c>
      <c r="G16" s="2" t="n">
        <v>1600</v>
      </c>
      <c r="H16" s="2" t="inlineStr">
        <is>
          <t>guide</t>
        </is>
      </c>
      <c r="I16" s="2" t="n">
        <v>33</v>
      </c>
      <c r="J16" s="2" t="inlineStr">
        <is>
          <t>Élevé (900-1300/mois)</t>
        </is>
      </c>
      <c r="K16" s="2" t="inlineStr">
        <is>
          <t>haute</t>
        </is>
      </c>
      <c r="L16" s="2" t="inlineStr">
        <is>
          <t>draft</t>
        </is>
      </c>
      <c r="M16" s="5" t="n">
        <v>46258</v>
      </c>
      <c r="N16" s="2" t="inlineStr">
        <is>
          <t>Yassine (Expert Électricité)</t>
        </is>
      </c>
      <c r="O16" s="3" t="inlineStr">
        <is>
          <t>Fort volume, article prioritaire Q3</t>
        </is>
      </c>
    </row>
    <row r="17">
      <c r="A17" s="2" t="n">
        <v>16</v>
      </c>
      <c r="B17" s="3" t="inlineStr">
        <is>
          <t>Tableau électrique qui grille : que faire immédiatement ?</t>
        </is>
      </c>
      <c r="C17" s="3" t="inlineStr">
        <is>
          <t>electricite/tableau-electrique-qui-grille-que-faire-immediatement</t>
        </is>
      </c>
      <c r="D17" s="6" t="inlineStr">
        <is>
          <t>électricité</t>
        </is>
      </c>
      <c r="E17" s="3" t="inlineStr">
        <is>
          <t>tableau électrique qui grille</t>
        </is>
      </c>
      <c r="F17" s="3" t="inlineStr">
        <is>
          <t>odeur brûlé tableau électrique, danger électrique maison</t>
        </is>
      </c>
      <c r="G17" s="2" t="n">
        <v>1400</v>
      </c>
      <c r="H17" s="2" t="inlineStr">
        <is>
          <t>guide</t>
        </is>
      </c>
      <c r="I17" s="2" t="n">
        <v>28</v>
      </c>
      <c r="J17" s="2" t="inlineStr">
        <is>
          <t>Moyen (300-500/mois)</t>
        </is>
      </c>
      <c r="K17" s="2" t="inlineStr">
        <is>
          <t>haute</t>
        </is>
      </c>
      <c r="L17" s="2" t="inlineStr">
        <is>
          <t>draft</t>
        </is>
      </c>
      <c r="M17" s="5" t="n">
        <v>46258</v>
      </c>
      <c r="N17" s="2" t="inlineStr">
        <is>
          <t>Yassine (Expert Électricité)</t>
        </is>
      </c>
      <c r="O17" s="3" t="inlineStr">
        <is>
          <t>Angle sécurité/urgence, CTA réservation urgente</t>
        </is>
      </c>
    </row>
    <row r="18">
      <c r="A18" s="2" t="n">
        <v>17</v>
      </c>
      <c r="B18" s="3" t="inlineStr">
        <is>
          <t>Norme électrique maison au Maroc : ce qu'il faut savoir</t>
        </is>
      </c>
      <c r="C18" s="3" t="inlineStr">
        <is>
          <t>electricite/norme-electrique-maison-au-maroc-ce-qu-il-faut-savoir</t>
        </is>
      </c>
      <c r="D18" s="6" t="inlineStr">
        <is>
          <t>électricité</t>
        </is>
      </c>
      <c r="E18" s="3" t="inlineStr">
        <is>
          <t>norme électrique maison Maroc</t>
        </is>
      </c>
      <c r="F18" s="3" t="inlineStr">
        <is>
          <t>réglementation électrique Maroc, mise aux normes électrique</t>
        </is>
      </c>
      <c r="G18" s="2" t="n">
        <v>1800</v>
      </c>
      <c r="H18" s="2" t="inlineStr">
        <is>
          <t>guide</t>
        </is>
      </c>
      <c r="I18" s="2" t="n">
        <v>20</v>
      </c>
      <c r="J18" s="2" t="inlineStr">
        <is>
          <t>Faible (150-300/mois)</t>
        </is>
      </c>
      <c r="K18" s="2" t="inlineStr">
        <is>
          <t>basse</t>
        </is>
      </c>
      <c r="L18" s="2" t="inlineStr">
        <is>
          <t>draft</t>
        </is>
      </c>
      <c r="M18" s="5" t="n">
        <v>46377</v>
      </c>
      <c r="N18" s="2" t="inlineStr">
        <is>
          <t>Sara (Redactrice SEO)</t>
        </is>
      </c>
      <c r="O18" s="3" t="inlineStr">
        <is>
          <t>Contenu informatif, positionnement expertise</t>
        </is>
      </c>
    </row>
    <row r="19">
      <c r="A19" s="2" t="n">
        <v>18</v>
      </c>
      <c r="B19" s="3" t="inlineStr">
        <is>
          <t>Panne de courant partielle dans la maison : diagnostic</t>
        </is>
      </c>
      <c r="C19" s="3" t="inlineStr">
        <is>
          <t>electricite/panne-de-courant-partielle-dans-la-maison-diagnostic</t>
        </is>
      </c>
      <c r="D19" s="6" t="inlineStr">
        <is>
          <t>électricité</t>
        </is>
      </c>
      <c r="E19" s="3" t="inlineStr">
        <is>
          <t>panne électrique partielle maison</t>
        </is>
      </c>
      <c r="F19" s="3" t="inlineStr">
        <is>
          <t>une pièce sans électricité, panne courant partielle</t>
        </is>
      </c>
      <c r="G19" s="2" t="n">
        <v>1500</v>
      </c>
      <c r="H19" s="2" t="inlineStr">
        <is>
          <t>how-to</t>
        </is>
      </c>
      <c r="I19" s="2" t="n">
        <v>27</v>
      </c>
      <c r="J19" s="2" t="inlineStr">
        <is>
          <t>Moyen (400-600/mois)</t>
        </is>
      </c>
      <c r="K19" s="2" t="inlineStr">
        <is>
          <t>moyenne</t>
        </is>
      </c>
      <c r="L19" s="2" t="inlineStr">
        <is>
          <t>draft</t>
        </is>
      </c>
      <c r="M19" s="5" t="n">
        <v>46314</v>
      </c>
      <c r="N19" s="2" t="inlineStr">
        <is>
          <t>Yassine (Expert Électricité)</t>
        </is>
      </c>
      <c r="O19" s="3" t="inlineStr"/>
    </row>
    <row r="20">
      <c r="A20" s="2" t="n">
        <v>19</v>
      </c>
      <c r="B20" s="3" t="inlineStr">
        <is>
          <t>Installer une prise USB murale : tutoriel pas à pas</t>
        </is>
      </c>
      <c r="C20" s="3" t="inlineStr">
        <is>
          <t>electricite/installer-une-prise-usb-murale-tutoriel-pas-a-pas</t>
        </is>
      </c>
      <c r="D20" s="6" t="inlineStr">
        <is>
          <t>électricité</t>
        </is>
      </c>
      <c r="E20" s="3" t="inlineStr">
        <is>
          <t>installer prise usb murale</t>
        </is>
      </c>
      <c r="F20" s="3" t="inlineStr">
        <is>
          <t>prise usb intégrée maison, rénovation électrique moderne</t>
        </is>
      </c>
      <c r="G20" s="2" t="n">
        <v>1200</v>
      </c>
      <c r="H20" s="2" t="inlineStr">
        <is>
          <t>how-to</t>
        </is>
      </c>
      <c r="I20" s="2" t="n">
        <v>18</v>
      </c>
      <c r="J20" s="2" t="inlineStr">
        <is>
          <t>Faible (100-250/mois)</t>
        </is>
      </c>
      <c r="K20" s="2" t="inlineStr">
        <is>
          <t>basse</t>
        </is>
      </c>
      <c r="L20" s="2" t="inlineStr">
        <is>
          <t>draft</t>
        </is>
      </c>
      <c r="M20" s="5" t="n">
        <v>46377</v>
      </c>
      <c r="N20" s="2" t="inlineStr">
        <is>
          <t>Amine (Redacteur)</t>
        </is>
      </c>
      <c r="O20" s="3" t="inlineStr"/>
    </row>
    <row r="21">
      <c r="A21" s="2" t="n">
        <v>20</v>
      </c>
      <c r="B21" s="3" t="inlineStr">
        <is>
          <t>Électricien agréé à Rabat : comment bien choisir</t>
        </is>
      </c>
      <c r="C21" s="3" t="inlineStr">
        <is>
          <t>electricite/electricien-agree-a-rabat-comment-bien-choisir</t>
        </is>
      </c>
      <c r="D21" s="6" t="inlineStr">
        <is>
          <t>électricité</t>
        </is>
      </c>
      <c r="E21" s="3" t="inlineStr">
        <is>
          <t>électricien Rabat prix</t>
        </is>
      </c>
      <c r="F21" s="3" t="inlineStr">
        <is>
          <t>meilleur électricien Rabat, tarif électricien Maroc</t>
        </is>
      </c>
      <c r="G21" s="2" t="n">
        <v>1300</v>
      </c>
      <c r="H21" s="2" t="inlineStr">
        <is>
          <t>guide</t>
        </is>
      </c>
      <c r="I21" s="2" t="n">
        <v>21</v>
      </c>
      <c r="J21" s="2" t="inlineStr">
        <is>
          <t>Moyen (300-500/mois)</t>
        </is>
      </c>
      <c r="K21" s="2" t="inlineStr">
        <is>
          <t>moyenne</t>
        </is>
      </c>
      <c r="L21" s="2" t="inlineStr">
        <is>
          <t>draft</t>
        </is>
      </c>
      <c r="M21" s="5" t="n">
        <v>46321</v>
      </c>
      <c r="N21" s="2" t="inlineStr">
        <is>
          <t>Sara (Redactrice SEO)</t>
        </is>
      </c>
      <c r="O21" s="3" t="inlineStr">
        <is>
          <t>SEO local, dupliquer pour autres villes</t>
        </is>
      </c>
    </row>
    <row r="22">
      <c r="A22" s="2" t="n">
        <v>21</v>
      </c>
      <c r="B22" s="3" t="inlineStr">
        <is>
          <t>Odeur de brûlé au niveau d'une prise électrique : danger et solution</t>
        </is>
      </c>
      <c r="C22" s="3" t="inlineStr">
        <is>
          <t>electricite/odeur-de-brule-au-niveau-d-une-prise-electrique-danger-et-solution</t>
        </is>
      </c>
      <c r="D22" s="6" t="inlineStr">
        <is>
          <t>électricité</t>
        </is>
      </c>
      <c r="E22" s="3" t="inlineStr">
        <is>
          <t>odeur brûlé prise électrique</t>
        </is>
      </c>
      <c r="F22" s="3" t="inlineStr">
        <is>
          <t>prise électrique chaude danger, risque incendie électrique</t>
        </is>
      </c>
      <c r="G22" s="2" t="n">
        <v>1400</v>
      </c>
      <c r="H22" s="2" t="inlineStr">
        <is>
          <t>guide</t>
        </is>
      </c>
      <c r="I22" s="2" t="n">
        <v>24</v>
      </c>
      <c r="J22" s="2" t="inlineStr">
        <is>
          <t>Moyen (350-550/mois)</t>
        </is>
      </c>
      <c r="K22" s="2" t="inlineStr">
        <is>
          <t>haute</t>
        </is>
      </c>
      <c r="L22" s="2" t="inlineStr">
        <is>
          <t>draft</t>
        </is>
      </c>
      <c r="M22" s="5" t="n">
        <v>46265</v>
      </c>
      <c r="N22" s="2" t="inlineStr">
        <is>
          <t>Yassine (Expert Électricité)</t>
        </is>
      </c>
      <c r="O22" s="3" t="inlineStr">
        <is>
          <t>Angle sécurité fort, potentiel viral réseaux sociaux</t>
        </is>
      </c>
    </row>
    <row r="23">
      <c r="A23" s="2" t="n">
        <v>22</v>
      </c>
      <c r="B23" s="3" t="inlineStr">
        <is>
          <t>Rénover l'installation électrique d'un vieil appartement</t>
        </is>
      </c>
      <c r="C23" s="3" t="inlineStr">
        <is>
          <t>electricite/renover-l-installation-electrique-d-un-vieil-appartement</t>
        </is>
      </c>
      <c r="D23" s="6" t="inlineStr">
        <is>
          <t>électricité</t>
        </is>
      </c>
      <c r="E23" s="3" t="inlineStr">
        <is>
          <t>rénovation électrique appartement ancien</t>
        </is>
      </c>
      <c r="F23" s="3" t="inlineStr">
        <is>
          <t>mise aux normes appartement ancien, budget rénovation électrique</t>
        </is>
      </c>
      <c r="G23" s="2" t="n">
        <v>1900</v>
      </c>
      <c r="H23" s="2" t="inlineStr">
        <is>
          <t>guide</t>
        </is>
      </c>
      <c r="I23" s="2" t="n">
        <v>29</v>
      </c>
      <c r="J23" s="2" t="inlineStr">
        <is>
          <t>Moyen (300-500/mois)</t>
        </is>
      </c>
      <c r="K23" s="2" t="inlineStr">
        <is>
          <t>moyenne</t>
        </is>
      </c>
      <c r="L23" s="2" t="inlineStr">
        <is>
          <t>draft</t>
        </is>
      </c>
      <c r="M23" s="5" t="n">
        <v>46321</v>
      </c>
      <c r="N23" s="2" t="inlineStr">
        <is>
          <t>Nadia (Redactrice)</t>
        </is>
      </c>
      <c r="O23" s="3" t="inlineStr">
        <is>
          <t>Lien vers article budget travaux général</t>
        </is>
      </c>
    </row>
    <row r="24">
      <c r="A24" s="2" t="n">
        <v>23</v>
      </c>
      <c r="B24" s="3" t="inlineStr">
        <is>
          <t>Réparer une porte qui grince ou qui coince : guide rapide</t>
        </is>
      </c>
      <c r="C24" s="3" t="inlineStr">
        <is>
          <t>menuiserie/reparer-une-porte-qui-grince-ou-qui-coince-guide-rapide</t>
        </is>
      </c>
      <c r="D24" s="7" t="inlineStr">
        <is>
          <t>menuiserie</t>
        </is>
      </c>
      <c r="E24" s="3" t="inlineStr">
        <is>
          <t>réparer porte qui coince</t>
        </is>
      </c>
      <c r="F24" s="3" t="inlineStr">
        <is>
          <t>porte qui grince solution, ajuster porte bois</t>
        </is>
      </c>
      <c r="G24" s="2" t="n">
        <v>1400</v>
      </c>
      <c r="H24" s="2" t="inlineStr">
        <is>
          <t>how-to</t>
        </is>
      </c>
      <c r="I24" s="2" t="n">
        <v>24</v>
      </c>
      <c r="J24" s="2" t="inlineStr">
        <is>
          <t>Moyen (400-600/mois)</t>
        </is>
      </c>
      <c r="K24" s="2" t="inlineStr">
        <is>
          <t>moyenne</t>
        </is>
      </c>
      <c r="L24" s="2" t="inlineStr">
        <is>
          <t>draft</t>
        </is>
      </c>
      <c r="M24" s="5" t="n">
        <v>46328</v>
      </c>
      <c r="N24" s="2" t="inlineStr">
        <is>
          <t>Omar (Expert Menuiserie)</t>
        </is>
      </c>
      <c r="O24" s="3" t="inlineStr"/>
    </row>
    <row r="25">
      <c r="A25" s="2" t="n">
        <v>24</v>
      </c>
      <c r="B25" s="3" t="inlineStr">
        <is>
          <t>Installer une étagère murale soi-même : tutoriel complet</t>
        </is>
      </c>
      <c r="C25" s="3" t="inlineStr">
        <is>
          <t>menuiserie/installer-une-etagere-murale-soi-meme-tutoriel-complet</t>
        </is>
      </c>
      <c r="D25" s="7" t="inlineStr">
        <is>
          <t>menuiserie</t>
        </is>
      </c>
      <c r="E25" s="3" t="inlineStr">
        <is>
          <t>installer étagère murale</t>
        </is>
      </c>
      <c r="F25" s="3" t="inlineStr">
        <is>
          <t>fixer étagère mur, étagère bois maison</t>
        </is>
      </c>
      <c r="G25" s="2" t="n">
        <v>1300</v>
      </c>
      <c r="H25" s="2" t="inlineStr">
        <is>
          <t>how-to</t>
        </is>
      </c>
      <c r="I25" s="2" t="n">
        <v>20</v>
      </c>
      <c r="J25" s="2" t="inlineStr">
        <is>
          <t>Moyen (300-500/mois)</t>
        </is>
      </c>
      <c r="K25" s="2" t="inlineStr">
        <is>
          <t>basse</t>
        </is>
      </c>
      <c r="L25" s="2" t="inlineStr">
        <is>
          <t>draft</t>
        </is>
      </c>
      <c r="M25" s="5" t="n">
        <v>46384</v>
      </c>
      <c r="N25" s="2" t="inlineStr">
        <is>
          <t>Omar (Expert Menuiserie)</t>
        </is>
      </c>
      <c r="O25" s="3" t="inlineStr"/>
    </row>
    <row r="26">
      <c r="A26" s="2" t="n">
        <v>25</v>
      </c>
      <c r="B26" s="3" t="inlineStr">
        <is>
          <t>Poncer et vernir un meuble en bois : guide débutant</t>
        </is>
      </c>
      <c r="C26" s="3" t="inlineStr">
        <is>
          <t>menuiserie/poncer-et-vernir-un-meuble-en-bois-guide-debutant</t>
        </is>
      </c>
      <c r="D26" s="7" t="inlineStr">
        <is>
          <t>menuiserie</t>
        </is>
      </c>
      <c r="E26" s="3" t="inlineStr">
        <is>
          <t>poncer vernir meuble bois</t>
        </is>
      </c>
      <c r="F26" s="3" t="inlineStr">
        <is>
          <t>rénover meuble ancien bois, vernis meuble tutoriel</t>
        </is>
      </c>
      <c r="G26" s="2" t="n">
        <v>1600</v>
      </c>
      <c r="H26" s="2" t="inlineStr">
        <is>
          <t>how-to</t>
        </is>
      </c>
      <c r="I26" s="2" t="n">
        <v>22</v>
      </c>
      <c r="J26" s="2" t="inlineStr">
        <is>
          <t>Faible (200-350/mois)</t>
        </is>
      </c>
      <c r="K26" s="2" t="inlineStr">
        <is>
          <t>basse</t>
        </is>
      </c>
      <c r="L26" s="2" t="inlineStr">
        <is>
          <t>draft</t>
        </is>
      </c>
      <c r="M26" s="5" t="n">
        <v>46384</v>
      </c>
      <c r="N26" s="2" t="inlineStr">
        <is>
          <t>Amine (Redacteur)</t>
        </is>
      </c>
      <c r="O26" s="3" t="inlineStr"/>
    </row>
    <row r="27">
      <c r="A27" s="2" t="n">
        <v>26</v>
      </c>
      <c r="B27" s="3" t="inlineStr">
        <is>
          <t>Remplacer une serrure de porte : guide complet sécurité</t>
        </is>
      </c>
      <c r="C27" s="3" t="inlineStr">
        <is>
          <t>menuiserie/remplacer-une-serrure-de-porte-guide-complet-securite</t>
        </is>
      </c>
      <c r="D27" s="7" t="inlineStr">
        <is>
          <t>menuiserie</t>
        </is>
      </c>
      <c r="E27" s="3" t="inlineStr">
        <is>
          <t>remplacer serrure porte maison</t>
        </is>
      </c>
      <c r="F27" s="3" t="inlineStr">
        <is>
          <t>changer serrure après perte clés, serrure sécurité maison</t>
        </is>
      </c>
      <c r="G27" s="2" t="n">
        <v>1500</v>
      </c>
      <c r="H27" s="2" t="inlineStr">
        <is>
          <t>how-to</t>
        </is>
      </c>
      <c r="I27" s="2" t="n">
        <v>27</v>
      </c>
      <c r="J27" s="2" t="inlineStr">
        <is>
          <t>Élevé (600-900/mois)</t>
        </is>
      </c>
      <c r="K27" s="2" t="inlineStr">
        <is>
          <t>haute</t>
        </is>
      </c>
      <c r="L27" s="2" t="inlineStr">
        <is>
          <t>draft</t>
        </is>
      </c>
      <c r="M27" s="5" t="n">
        <v>46265</v>
      </c>
      <c r="N27" s="2" t="inlineStr">
        <is>
          <t>Omar (Expert Menuiserie)</t>
        </is>
      </c>
      <c r="O27" s="3" t="inlineStr">
        <is>
          <t>Intention sécurité forte, bon taux de conversion attendu</t>
        </is>
      </c>
    </row>
    <row r="28">
      <c r="A28" s="2" t="n">
        <v>27</v>
      </c>
      <c r="B28" s="3" t="inlineStr">
        <is>
          <t>Fenêtre en bois qui ne ferme plus : causes et solutions</t>
        </is>
      </c>
      <c r="C28" s="3" t="inlineStr">
        <is>
          <t>menuiserie/fenetre-en-bois-qui-ne-ferme-plus-causes-et-solutions</t>
        </is>
      </c>
      <c r="D28" s="7" t="inlineStr">
        <is>
          <t>menuiserie</t>
        </is>
      </c>
      <c r="E28" s="3" t="inlineStr">
        <is>
          <t>fenêtre bois ne ferme plus</t>
        </is>
      </c>
      <c r="F28" s="3" t="inlineStr">
        <is>
          <t>fenêtre bois bloquée, réparer fenêtre bois</t>
        </is>
      </c>
      <c r="G28" s="2" t="n">
        <v>1400</v>
      </c>
      <c r="H28" s="2" t="inlineStr">
        <is>
          <t>how-to</t>
        </is>
      </c>
      <c r="I28" s="2" t="n">
        <v>21</v>
      </c>
      <c r="J28" s="2" t="inlineStr">
        <is>
          <t>Moyen (300-500/mois)</t>
        </is>
      </c>
      <c r="K28" s="2" t="inlineStr">
        <is>
          <t>moyenne</t>
        </is>
      </c>
      <c r="L28" s="2" t="inlineStr">
        <is>
          <t>draft</t>
        </is>
      </c>
      <c r="M28" s="5" t="n">
        <v>46328</v>
      </c>
      <c r="N28" s="2" t="inlineStr">
        <is>
          <t>Omar (Expert Menuiserie)</t>
        </is>
      </c>
      <c r="O28" s="3" t="inlineStr"/>
    </row>
    <row r="29">
      <c r="A29" s="2" t="n">
        <v>28</v>
      </c>
      <c r="B29" s="3" t="inlineStr">
        <is>
          <t>Fabriquer une bibliothèque sur mesure : conseils pratiques</t>
        </is>
      </c>
      <c r="C29" s="3" t="inlineStr">
        <is>
          <t>menuiserie/fabriquer-une-bibliotheque-sur-mesure-conseils-pratiques</t>
        </is>
      </c>
      <c r="D29" s="7" t="inlineStr">
        <is>
          <t>menuiserie</t>
        </is>
      </c>
      <c r="E29" s="3" t="inlineStr">
        <is>
          <t>bibliothèque bois sur mesure</t>
        </is>
      </c>
      <c r="F29" s="3" t="inlineStr">
        <is>
          <t>meuble bois sur mesure prix, rangement salon bois</t>
        </is>
      </c>
      <c r="G29" s="2" t="n">
        <v>1700</v>
      </c>
      <c r="H29" s="2" t="inlineStr">
        <is>
          <t>guide</t>
        </is>
      </c>
      <c r="I29" s="2" t="n">
        <v>19</v>
      </c>
      <c r="J29" s="2" t="inlineStr">
        <is>
          <t>Faible (150-300/mois)</t>
        </is>
      </c>
      <c r="K29" s="2" t="inlineStr">
        <is>
          <t>basse</t>
        </is>
      </c>
      <c r="L29" s="2" t="inlineStr">
        <is>
          <t>draft</t>
        </is>
      </c>
      <c r="M29" s="5" t="n">
        <v>46391</v>
      </c>
      <c r="N29" s="2" t="inlineStr">
        <is>
          <t>Amine (Redacteur)</t>
        </is>
      </c>
      <c r="O29" s="3" t="inlineStr"/>
    </row>
    <row r="30">
      <c r="A30" s="2" t="n">
        <v>29</v>
      </c>
      <c r="B30" s="3" t="inlineStr">
        <is>
          <t>Menuisier à Marrakech : prix et conseils pour bien choisir</t>
        </is>
      </c>
      <c r="C30" s="3" t="inlineStr">
        <is>
          <t>menuiserie/menuisier-a-marrakech-prix-et-conseils-pour-bien-choisir</t>
        </is>
      </c>
      <c r="D30" s="7" t="inlineStr">
        <is>
          <t>menuiserie</t>
        </is>
      </c>
      <c r="E30" s="3" t="inlineStr">
        <is>
          <t>menuisier Marrakech prix</t>
        </is>
      </c>
      <c r="F30" s="3" t="inlineStr">
        <is>
          <t>artisan menuisier Marrakech, tarif menuiserie Maroc</t>
        </is>
      </c>
      <c r="G30" s="2" t="n">
        <v>1300</v>
      </c>
      <c r="H30" s="2" t="inlineStr">
        <is>
          <t>guide</t>
        </is>
      </c>
      <c r="I30" s="2" t="n">
        <v>18</v>
      </c>
      <c r="J30" s="2" t="inlineStr">
        <is>
          <t>Moyen (250-450/mois)</t>
        </is>
      </c>
      <c r="K30" s="2" t="inlineStr">
        <is>
          <t>moyenne</t>
        </is>
      </c>
      <c r="L30" s="2" t="inlineStr">
        <is>
          <t>draft</t>
        </is>
      </c>
      <c r="M30" s="5" t="n">
        <v>46335</v>
      </c>
      <c r="N30" s="2" t="inlineStr">
        <is>
          <t>Sara (Redactrice SEO)</t>
        </is>
      </c>
      <c r="O30" s="3" t="inlineStr">
        <is>
          <t>SEO local, dupliquer pour Agadir/Tanger</t>
        </is>
      </c>
    </row>
    <row r="31">
      <c r="A31" s="2" t="n">
        <v>30</v>
      </c>
      <c r="B31" s="3" t="inlineStr">
        <is>
          <t>Réparer un parquet abîmé soi-même : guide étape par étape</t>
        </is>
      </c>
      <c r="C31" s="3" t="inlineStr">
        <is>
          <t>menuiserie/reparer-un-parquet-abime-soi-meme-guide-etape-par-etape</t>
        </is>
      </c>
      <c r="D31" s="7" t="inlineStr">
        <is>
          <t>menuiserie</t>
        </is>
      </c>
      <c r="E31" s="3" t="inlineStr">
        <is>
          <t>réparer parquet abîmé</t>
        </is>
      </c>
      <c r="F31" s="3" t="inlineStr">
        <is>
          <t>rayure parquet solution, rénover parquet bois</t>
        </is>
      </c>
      <c r="G31" s="2" t="n">
        <v>1500</v>
      </c>
      <c r="H31" s="2" t="inlineStr">
        <is>
          <t>how-to</t>
        </is>
      </c>
      <c r="I31" s="2" t="n">
        <v>23</v>
      </c>
      <c r="J31" s="2" t="inlineStr">
        <is>
          <t>Moyen (300-500/mois)</t>
        </is>
      </c>
      <c r="K31" s="2" t="inlineStr">
        <is>
          <t>moyenne</t>
        </is>
      </c>
      <c r="L31" s="2" t="inlineStr">
        <is>
          <t>draft</t>
        </is>
      </c>
      <c r="M31" s="5" t="n">
        <v>46335</v>
      </c>
      <c r="N31" s="2" t="inlineStr">
        <is>
          <t>Omar (Expert Menuiserie)</t>
        </is>
      </c>
      <c r="O31" s="3" t="inlineStr"/>
    </row>
    <row r="32">
      <c r="A32" s="2" t="n">
        <v>31</v>
      </c>
      <c r="B32" s="3" t="inlineStr">
        <is>
          <t>Installer un dressing sur mesure : budget et étapes</t>
        </is>
      </c>
      <c r="C32" s="3" t="inlineStr">
        <is>
          <t>menuiserie/installer-un-dressing-sur-mesure-budget-et-etapes</t>
        </is>
      </c>
      <c r="D32" s="7" t="inlineStr">
        <is>
          <t>menuiserie</t>
        </is>
      </c>
      <c r="E32" s="3" t="inlineStr">
        <is>
          <t>installer dressing sur mesure</t>
        </is>
      </c>
      <c r="F32" s="3" t="inlineStr">
        <is>
          <t>prix dressing sur mesure Maroc, aménagement dressing</t>
        </is>
      </c>
      <c r="G32" s="2" t="n">
        <v>1600</v>
      </c>
      <c r="H32" s="2" t="inlineStr">
        <is>
          <t>guide</t>
        </is>
      </c>
      <c r="I32" s="2" t="n">
        <v>26</v>
      </c>
      <c r="J32" s="2" t="inlineStr">
        <is>
          <t>Moyen (350-550/mois)</t>
        </is>
      </c>
      <c r="K32" s="2" t="inlineStr">
        <is>
          <t>moyenne</t>
        </is>
      </c>
      <c r="L32" s="2" t="inlineStr">
        <is>
          <t>draft</t>
        </is>
      </c>
      <c r="M32" s="5" t="n">
        <v>46342</v>
      </c>
      <c r="N32" s="2" t="inlineStr">
        <is>
          <t>Nadia (Redactrice)</t>
        </is>
      </c>
      <c r="O32" s="3" t="inlineStr"/>
    </row>
    <row r="33">
      <c r="A33" s="2" t="n">
        <v>32</v>
      </c>
      <c r="B33" s="3" t="inlineStr">
        <is>
          <t>Choisir le bois pour ses meubles d'extérieur au Maroc</t>
        </is>
      </c>
      <c r="C33" s="3" t="inlineStr">
        <is>
          <t>menuiserie/choisir-le-bois-pour-ses-meubles-d-exterieur-au-maroc</t>
        </is>
      </c>
      <c r="D33" s="7" t="inlineStr">
        <is>
          <t>menuiserie</t>
        </is>
      </c>
      <c r="E33" s="3" t="inlineStr">
        <is>
          <t>bois meuble extérieur Maroc</t>
        </is>
      </c>
      <c r="F33" s="3" t="inlineStr">
        <is>
          <t>mobilier bois résistant climat Maroc, terrasse bois entretien</t>
        </is>
      </c>
      <c r="G33" s="2" t="n">
        <v>1500</v>
      </c>
      <c r="H33" s="2" t="inlineStr">
        <is>
          <t>tips</t>
        </is>
      </c>
      <c r="I33" s="2" t="n">
        <v>17</v>
      </c>
      <c r="J33" s="2" t="inlineStr">
        <is>
          <t>Faible (100-250/mois)</t>
        </is>
      </c>
      <c r="K33" s="2" t="inlineStr">
        <is>
          <t>basse</t>
        </is>
      </c>
      <c r="L33" s="2" t="inlineStr">
        <is>
          <t>draft</t>
        </is>
      </c>
      <c r="M33" s="5" t="n">
        <v>46391</v>
      </c>
      <c r="N33" s="2" t="inlineStr">
        <is>
          <t>Amine (Redacteur)</t>
        </is>
      </c>
      <c r="O33" s="3" t="inlineStr"/>
    </row>
    <row r="34">
      <c r="A34" s="2" t="n">
        <v>33</v>
      </c>
      <c r="B34" s="3" t="inlineStr">
        <is>
          <t>Portail en bois qui se déforme : que faire ?</t>
        </is>
      </c>
      <c r="C34" s="3" t="inlineStr">
        <is>
          <t>menuiserie/portail-en-bois-qui-se-deforme-que-faire</t>
        </is>
      </c>
      <c r="D34" s="7" t="inlineStr">
        <is>
          <t>menuiserie</t>
        </is>
      </c>
      <c r="E34" s="3" t="inlineStr">
        <is>
          <t>portail bois déformé solution</t>
        </is>
      </c>
      <c r="F34" s="3" t="inlineStr">
        <is>
          <t>entretien portail bois, réparer portail extérieur</t>
        </is>
      </c>
      <c r="G34" s="2" t="n">
        <v>1300</v>
      </c>
      <c r="H34" s="2" t="inlineStr">
        <is>
          <t>how-to</t>
        </is>
      </c>
      <c r="I34" s="2" t="n">
        <v>16</v>
      </c>
      <c r="J34" s="2" t="inlineStr">
        <is>
          <t>Faible (100-200/mois)</t>
        </is>
      </c>
      <c r="K34" s="2" t="inlineStr">
        <is>
          <t>basse</t>
        </is>
      </c>
      <c r="L34" s="2" t="inlineStr">
        <is>
          <t>draft</t>
        </is>
      </c>
      <c r="M34" s="5" t="n">
        <v>46398</v>
      </c>
      <c r="N34" s="2" t="inlineStr">
        <is>
          <t>Omar (Expert Menuiserie)</t>
        </is>
      </c>
      <c r="O34" s="3" t="inlineStr"/>
    </row>
    <row r="35">
      <c r="A35" s="2" t="n">
        <v>34</v>
      </c>
      <c r="B35" s="3" t="inlineStr">
        <is>
          <t>Rénover une cuisine en bois : idées et budget 2026</t>
        </is>
      </c>
      <c r="C35" s="3" t="inlineStr">
        <is>
          <t>menuiserie/renover-une-cuisine-en-bois-idees-et-budget-2026</t>
        </is>
      </c>
      <c r="D35" s="7" t="inlineStr">
        <is>
          <t>menuiserie</t>
        </is>
      </c>
      <c r="E35" s="3" t="inlineStr">
        <is>
          <t>rénover cuisine bois budget</t>
        </is>
      </c>
      <c r="F35" s="3" t="inlineStr">
        <is>
          <t>prix rénovation cuisine Maroc, cuisine bois moderne</t>
        </is>
      </c>
      <c r="G35" s="2" t="n">
        <v>1900</v>
      </c>
      <c r="H35" s="2" t="inlineStr">
        <is>
          <t>guide</t>
        </is>
      </c>
      <c r="I35" s="2" t="n">
        <v>31</v>
      </c>
      <c r="J35" s="2" t="inlineStr">
        <is>
          <t>Élevé (600-900/mois)</t>
        </is>
      </c>
      <c r="K35" s="2" t="inlineStr">
        <is>
          <t>haute</t>
        </is>
      </c>
      <c r="L35" s="2" t="inlineStr">
        <is>
          <t>draft</t>
        </is>
      </c>
      <c r="M35" s="5" t="n">
        <v>46272</v>
      </c>
      <c r="N35" s="2" t="inlineStr">
        <is>
          <t>Sara (Redactrice SEO)</t>
        </is>
      </c>
      <c r="O35" s="3" t="inlineStr">
        <is>
          <t>Fort potentiel commercial, cross-sell avec artisans multi-métiers</t>
        </is>
      </c>
    </row>
    <row r="36">
      <c r="A36" s="2" t="n">
        <v>35</v>
      </c>
      <c r="B36" s="3" t="inlineStr">
        <is>
          <t>Isolation phonique d'une porte : meilleures solutions en bois</t>
        </is>
      </c>
      <c r="C36" s="3" t="inlineStr">
        <is>
          <t>menuiserie/isolation-phonique-d-une-porte-meilleures-solutions-en-bois</t>
        </is>
      </c>
      <c r="D36" s="7" t="inlineStr">
        <is>
          <t>menuiserie</t>
        </is>
      </c>
      <c r="E36" s="3" t="inlineStr">
        <is>
          <t>isolation phonique porte bois</t>
        </is>
      </c>
      <c r="F36" s="3" t="inlineStr">
        <is>
          <t>réduire bruit porte appartement, porte insonorisée prix</t>
        </is>
      </c>
      <c r="G36" s="2" t="n">
        <v>1400</v>
      </c>
      <c r="H36" s="2" t="inlineStr">
        <is>
          <t>tips</t>
        </is>
      </c>
      <c r="I36" s="2" t="n">
        <v>19</v>
      </c>
      <c r="J36" s="2" t="inlineStr">
        <is>
          <t>Faible (150-300/mois)</t>
        </is>
      </c>
      <c r="K36" s="2" t="inlineStr">
        <is>
          <t>basse</t>
        </is>
      </c>
      <c r="L36" s="2" t="inlineStr">
        <is>
          <t>draft</t>
        </is>
      </c>
      <c r="M36" s="5" t="n">
        <v>46398</v>
      </c>
      <c r="N36" s="2" t="inlineStr">
        <is>
          <t>Amine (Redacteur)</t>
        </is>
      </c>
      <c r="O36" s="3" t="inlineStr"/>
    </row>
    <row r="37">
      <c r="A37" s="2" t="n">
        <v>36</v>
      </c>
      <c r="B37" s="3" t="inlineStr">
        <is>
          <t>Trouver des artisans fiables à Fès : le guide complet 2026</t>
        </is>
      </c>
      <c r="C37" s="3" t="inlineStr">
        <is>
          <t>conseils/trouver-des-artisans-fiables-a-fes-le-guide-complet-2026</t>
        </is>
      </c>
      <c r="D37" s="8" t="inlineStr">
        <is>
          <t>général</t>
        </is>
      </c>
      <c r="E37" s="3" t="inlineStr">
        <is>
          <t>artisans fiables Fès</t>
        </is>
      </c>
      <c r="F37" s="3" t="inlineStr">
        <is>
          <t>meilleur artisan Fès, artisan sérieux Fès avis</t>
        </is>
      </c>
      <c r="G37" s="2" t="n">
        <v>1600</v>
      </c>
      <c r="H37" s="2" t="inlineStr">
        <is>
          <t>guide</t>
        </is>
      </c>
      <c r="I37" s="2" t="n">
        <v>24</v>
      </c>
      <c r="J37" s="2" t="inlineStr">
        <is>
          <t>Moyen (400-600/mois)</t>
        </is>
      </c>
      <c r="K37" s="2" t="inlineStr">
        <is>
          <t>haute</t>
        </is>
      </c>
      <c r="L37" s="2" t="inlineStr">
        <is>
          <t>writing</t>
        </is>
      </c>
      <c r="M37" s="5" t="n">
        <v>46272</v>
      </c>
      <c r="N37" s="2" t="inlineStr">
        <is>
          <t>Sara (Redactrice SEO)</t>
        </is>
      </c>
      <c r="O37" s="3" t="inlineStr">
        <is>
          <t>Article pilier local, décliner pour chaque ville FixNow</t>
        </is>
      </c>
    </row>
    <row r="38">
      <c r="A38" s="2" t="n">
        <v>37</v>
      </c>
      <c r="B38" s="3" t="inlineStr">
        <is>
          <t>Combien coûte la rénovation d'une maison au Maroc ?</t>
        </is>
      </c>
      <c r="C38" s="3" t="inlineStr">
        <is>
          <t>conseils/combien-coute-la-renovation-d-une-maison-au-maroc</t>
        </is>
      </c>
      <c r="D38" s="8" t="inlineStr">
        <is>
          <t>général</t>
        </is>
      </c>
      <c r="E38" s="3" t="inlineStr">
        <is>
          <t>coût rénovation maison Maroc</t>
        </is>
      </c>
      <c r="F38" s="3" t="inlineStr">
        <is>
          <t>budget rénovation Maroc, prix travaux maison 2026</t>
        </is>
      </c>
      <c r="G38" s="2" t="n">
        <v>2000</v>
      </c>
      <c r="H38" s="2" t="inlineStr">
        <is>
          <t>guide</t>
        </is>
      </c>
      <c r="I38" s="2" t="n">
        <v>34</v>
      </c>
      <c r="J38" s="2" t="inlineStr">
        <is>
          <t>Élevé (1000-1500/mois)</t>
        </is>
      </c>
      <c r="K38" s="2" t="inlineStr">
        <is>
          <t>haute</t>
        </is>
      </c>
      <c r="L38" s="2" t="inlineStr">
        <is>
          <t>review</t>
        </is>
      </c>
      <c r="M38" s="5" t="n">
        <v>46279</v>
      </c>
      <c r="N38" s="2" t="inlineStr">
        <is>
          <t>Sara (Redactrice SEO)</t>
        </is>
      </c>
      <c r="O38" s="3" t="inlineStr">
        <is>
          <t>Article pilier budget, lien vers tous les articles prix</t>
        </is>
      </c>
    </row>
    <row r="39">
      <c r="A39" s="2" t="n">
        <v>38</v>
      </c>
      <c r="B39" s="3" t="inlineStr">
        <is>
          <t>Comment choisir un artisan sur une application comme FixNow</t>
        </is>
      </c>
      <c r="C39" s="3" t="inlineStr">
        <is>
          <t>conseils/comment-choisir-un-artisan-sur-une-application-comme-fixnow</t>
        </is>
      </c>
      <c r="D39" s="8" t="inlineStr">
        <is>
          <t>général</t>
        </is>
      </c>
      <c r="E39" s="3" t="inlineStr">
        <is>
          <t>choisir artisan application Maroc</t>
        </is>
      </c>
      <c r="F39" s="3" t="inlineStr">
        <is>
          <t>app artisan Maroc avis, réserver artisan en ligne</t>
        </is>
      </c>
      <c r="G39" s="2" t="n">
        <v>1500</v>
      </c>
      <c r="H39" s="2" t="inlineStr">
        <is>
          <t>guide</t>
        </is>
      </c>
      <c r="I39" s="2" t="n">
        <v>20</v>
      </c>
      <c r="J39" s="2" t="inlineStr">
        <is>
          <t>Moyen (300-500/mois)</t>
        </is>
      </c>
      <c r="K39" s="2" t="inlineStr">
        <is>
          <t>haute</t>
        </is>
      </c>
      <c r="L39" s="2" t="inlineStr">
        <is>
          <t>draft</t>
        </is>
      </c>
      <c r="M39" s="5" t="n">
        <v>46279</v>
      </c>
      <c r="N39" s="2" t="inlineStr">
        <is>
          <t>Amine (Redacteur)</t>
        </is>
      </c>
      <c r="O39" s="3" t="inlineStr">
        <is>
          <t>Contenu produit, pousser inscription app</t>
        </is>
      </c>
    </row>
    <row r="40">
      <c r="A40" s="2" t="n">
        <v>39</v>
      </c>
      <c r="B40" s="3" t="inlineStr">
        <is>
          <t>10 erreurs à éviter avant de rénover son logement</t>
        </is>
      </c>
      <c r="C40" s="3" t="inlineStr">
        <is>
          <t>conseils/10-erreurs-a-eviter-avant-de-renover-son-logement</t>
        </is>
      </c>
      <c r="D40" s="8" t="inlineStr">
        <is>
          <t>général</t>
        </is>
      </c>
      <c r="E40" s="3" t="inlineStr">
        <is>
          <t>erreurs rénovation logement</t>
        </is>
      </c>
      <c r="F40" s="3" t="inlineStr">
        <is>
          <t>conseils avant travaux maison, éviter erreurs rénovation</t>
        </is>
      </c>
      <c r="G40" s="2" t="n">
        <v>1600</v>
      </c>
      <c r="H40" s="2" t="inlineStr">
        <is>
          <t>tips</t>
        </is>
      </c>
      <c r="I40" s="2" t="n">
        <v>23</v>
      </c>
      <c r="J40" s="2" t="inlineStr">
        <is>
          <t>Moyen (350-550/mois)</t>
        </is>
      </c>
      <c r="K40" s="2" t="inlineStr">
        <is>
          <t>moyenne</t>
        </is>
      </c>
      <c r="L40" s="2" t="inlineStr">
        <is>
          <t>draft</t>
        </is>
      </c>
      <c r="M40" s="5" t="n">
        <v>46342</v>
      </c>
      <c r="N40" s="2" t="inlineStr">
        <is>
          <t>Nadia (Redactrice)</t>
        </is>
      </c>
      <c r="O40" s="3" t="inlineStr"/>
    </row>
    <row r="41">
      <c r="A41" s="2" t="n">
        <v>40</v>
      </c>
      <c r="B41" s="3" t="inlineStr">
        <is>
          <t>Devis travaux maison : comment le lire et le comparer</t>
        </is>
      </c>
      <c r="C41" s="3" t="inlineStr">
        <is>
          <t>conseils/devis-travaux-maison-comment-le-lire-et-le-comparer</t>
        </is>
      </c>
      <c r="D41" s="8" t="inlineStr">
        <is>
          <t>général</t>
        </is>
      </c>
      <c r="E41" s="3" t="inlineStr">
        <is>
          <t>comparer devis travaux maison</t>
        </is>
      </c>
      <c r="F41" s="3" t="inlineStr">
        <is>
          <t>lire devis artisan, devis travaux pièges</t>
        </is>
      </c>
      <c r="G41" s="2" t="n">
        <v>1500</v>
      </c>
      <c r="H41" s="2" t="inlineStr">
        <is>
          <t>how-to</t>
        </is>
      </c>
      <c r="I41" s="2" t="n">
        <v>21</v>
      </c>
      <c r="J41" s="2" t="inlineStr">
        <is>
          <t>Moyen (300-500/mois)</t>
        </is>
      </c>
      <c r="K41" s="2" t="inlineStr">
        <is>
          <t>moyenne</t>
        </is>
      </c>
      <c r="L41" s="2" t="inlineStr">
        <is>
          <t>draft</t>
        </is>
      </c>
      <c r="M41" s="5" t="n">
        <v>46349</v>
      </c>
      <c r="N41" s="2" t="inlineStr">
        <is>
          <t>Amine (Redacteur)</t>
        </is>
      </c>
      <c r="O41" s="3" t="inlineStr"/>
    </row>
    <row r="42">
      <c r="A42" s="2" t="n">
        <v>41</v>
      </c>
      <c r="B42" s="3" t="inlineStr">
        <is>
          <t>Artisans à Casablanca : les métiers les plus demandés en 2026</t>
        </is>
      </c>
      <c r="C42" s="3" t="inlineStr">
        <is>
          <t>conseils/artisans-a-casablanca-les-metiers-les-plus-demandes-en-2026</t>
        </is>
      </c>
      <c r="D42" s="8" t="inlineStr">
        <is>
          <t>général</t>
        </is>
      </c>
      <c r="E42" s="3" t="inlineStr">
        <is>
          <t>artisans Casablanca métiers demandés</t>
        </is>
      </c>
      <c r="F42" s="3" t="inlineStr">
        <is>
          <t>artisan Casablanca populaire, services artisan Casablanca</t>
        </is>
      </c>
      <c r="G42" s="2" t="n">
        <v>1400</v>
      </c>
      <c r="H42" s="2" t="inlineStr">
        <is>
          <t>guide</t>
        </is>
      </c>
      <c r="I42" s="2" t="n">
        <v>22</v>
      </c>
      <c r="J42" s="2" t="inlineStr">
        <is>
          <t>Élevé (700-1000/mois)</t>
        </is>
      </c>
      <c r="K42" s="2" t="inlineStr">
        <is>
          <t>haute</t>
        </is>
      </c>
      <c r="L42" s="2" t="inlineStr">
        <is>
          <t>draft</t>
        </is>
      </c>
      <c r="M42" s="5" t="n">
        <v>46286</v>
      </c>
      <c r="N42" s="2" t="inlineStr">
        <is>
          <t>Sara (Redactrice SEO)</t>
        </is>
      </c>
      <c r="O42" s="3" t="inlineStr">
        <is>
          <t>SEO local prioritaire, plus grosse ville du Maroc</t>
        </is>
      </c>
    </row>
    <row r="43">
      <c r="A43" s="2" t="n">
        <v>42</v>
      </c>
      <c r="B43" s="3" t="inlineStr">
        <is>
          <t>Rénovation d'un appartement locatif : ce qu'il faut savoir</t>
        </is>
      </c>
      <c r="C43" s="3" t="inlineStr">
        <is>
          <t>conseils/renovation-d-un-appartement-locatif-ce-qu-il-faut-savoir</t>
        </is>
      </c>
      <c r="D43" s="8" t="inlineStr">
        <is>
          <t>général</t>
        </is>
      </c>
      <c r="E43" s="3" t="inlineStr">
        <is>
          <t>rénovation appartement locatif Maroc</t>
        </is>
      </c>
      <c r="F43" s="3" t="inlineStr">
        <is>
          <t>travaux appartement location, rénover pour louer</t>
        </is>
      </c>
      <c r="G43" s="2" t="n">
        <v>1500</v>
      </c>
      <c r="H43" s="2" t="inlineStr">
        <is>
          <t>guide</t>
        </is>
      </c>
      <c r="I43" s="2" t="n">
        <v>18</v>
      </c>
      <c r="J43" s="2" t="inlineStr">
        <is>
          <t>Faible (150-300/mois)</t>
        </is>
      </c>
      <c r="K43" s="2" t="inlineStr">
        <is>
          <t>basse</t>
        </is>
      </c>
      <c r="L43" s="2" t="inlineStr">
        <is>
          <t>draft</t>
        </is>
      </c>
      <c r="M43" s="5" t="n">
        <v>46405</v>
      </c>
      <c r="N43" s="2" t="inlineStr">
        <is>
          <t>Nadia (Redactrice)</t>
        </is>
      </c>
      <c r="O43" s="3" t="inlineStr"/>
    </row>
    <row r="44">
      <c r="A44" s="2" t="n">
        <v>43</v>
      </c>
      <c r="B44" s="3" t="inlineStr">
        <is>
          <t>Urgence à domicile : les réflexes à avoir avant l'arrivée de l'artisan</t>
        </is>
      </c>
      <c r="C44" s="3" t="inlineStr">
        <is>
          <t>conseils/urgence-a-domicile-les-reflexes-a-avoir-avant-l-arrivee-de-l-artisan</t>
        </is>
      </c>
      <c r="D44" s="8" t="inlineStr">
        <is>
          <t>général</t>
        </is>
      </c>
      <c r="E44" s="3" t="inlineStr">
        <is>
          <t>urgence domicile réflexes</t>
        </is>
      </c>
      <c r="F44" s="3" t="inlineStr">
        <is>
          <t>que faire urgence maison, premiers gestes urgence domicile</t>
        </is>
      </c>
      <c r="G44" s="2" t="n">
        <v>1300</v>
      </c>
      <c r="H44" s="2" t="inlineStr">
        <is>
          <t>tips</t>
        </is>
      </c>
      <c r="I44" s="2" t="n">
        <v>19</v>
      </c>
      <c r="J44" s="2" t="inlineStr">
        <is>
          <t>Moyen (300-500/mois)</t>
        </is>
      </c>
      <c r="K44" s="2" t="inlineStr">
        <is>
          <t>moyenne</t>
        </is>
      </c>
      <c r="L44" s="2" t="inlineStr">
        <is>
          <t>draft</t>
        </is>
      </c>
      <c r="M44" s="5" t="n">
        <v>46349</v>
      </c>
      <c r="N44" s="2" t="inlineStr">
        <is>
          <t>Nadia (Redactrice)</t>
        </is>
      </c>
      <c r="O44" s="3" t="inlineStr">
        <is>
          <t>Lien interne fort vers articles urgence plomberie/électricité</t>
        </is>
      </c>
    </row>
    <row r="45">
      <c r="A45" s="2" t="n">
        <v>44</v>
      </c>
      <c r="B45" s="3" t="inlineStr">
        <is>
          <t>Artisan ou bricolage soi-même : quand faire appel à un pro ?</t>
        </is>
      </c>
      <c r="C45" s="3" t="inlineStr">
        <is>
          <t>conseils/artisan-ou-bricolage-soi-meme-quand-faire-appel-a-un-pro</t>
        </is>
      </c>
      <c r="D45" s="8" t="inlineStr">
        <is>
          <t>général</t>
        </is>
      </c>
      <c r="E45" s="3" t="inlineStr">
        <is>
          <t>artisan ou bricolage soi-même</t>
        </is>
      </c>
      <c r="F45" s="3" t="inlineStr">
        <is>
          <t>faire soi-même ou appeler artisan, limites bricolage</t>
        </is>
      </c>
      <c r="G45" s="2" t="n">
        <v>1600</v>
      </c>
      <c r="H45" s="2" t="inlineStr">
        <is>
          <t>tips</t>
        </is>
      </c>
      <c r="I45" s="2" t="n">
        <v>20</v>
      </c>
      <c r="J45" s="2" t="inlineStr">
        <is>
          <t>Moyen (300-500/mois)</t>
        </is>
      </c>
      <c r="K45" s="2" t="inlineStr">
        <is>
          <t>moyenne</t>
        </is>
      </c>
      <c r="L45" s="2" t="inlineStr">
        <is>
          <t>draft</t>
        </is>
      </c>
      <c r="M45" s="5" t="n">
        <v>46356</v>
      </c>
      <c r="N45" s="2" t="inlineStr">
        <is>
          <t>Amine (Redacteur)</t>
        </is>
      </c>
      <c r="O45" s="3" t="inlineStr"/>
    </row>
    <row r="46">
      <c r="A46" s="2" t="n">
        <v>45</v>
      </c>
      <c r="B46" s="3" t="inlineStr">
        <is>
          <t>Calendrier d'entretien de la maison : que faire chaque saison ?</t>
        </is>
      </c>
      <c r="C46" s="3" t="inlineStr">
        <is>
          <t>conseils/calendrier-d-entretien-de-la-maison-que-faire-chaque-saison</t>
        </is>
      </c>
      <c r="D46" s="8" t="inlineStr">
        <is>
          <t>général</t>
        </is>
      </c>
      <c r="E46" s="3" t="inlineStr">
        <is>
          <t>entretien maison saisonnier</t>
        </is>
      </c>
      <c r="F46" s="3" t="inlineStr">
        <is>
          <t>checklist entretien maison année, calendrier travaux maison</t>
        </is>
      </c>
      <c r="G46" s="2" t="n">
        <v>1700</v>
      </c>
      <c r="H46" s="2" t="inlineStr">
        <is>
          <t>guide</t>
        </is>
      </c>
      <c r="I46" s="2" t="n">
        <v>17</v>
      </c>
      <c r="J46" s="2" t="inlineStr">
        <is>
          <t>Faible (150-300/mois)</t>
        </is>
      </c>
      <c r="K46" s="2" t="inlineStr">
        <is>
          <t>basse</t>
        </is>
      </c>
      <c r="L46" s="2" t="inlineStr">
        <is>
          <t>draft</t>
        </is>
      </c>
      <c r="M46" s="5" t="n">
        <v>46405</v>
      </c>
      <c r="N46" s="2" t="inlineStr">
        <is>
          <t>Nadia (Redactrice)</t>
        </is>
      </c>
      <c r="O46" s="3" t="inlineStr">
        <is>
          <t>Contenu evergreen, fort potentiel de liens internes</t>
        </is>
      </c>
    </row>
    <row r="47">
      <c r="A47" s="2" t="n">
        <v>46</v>
      </c>
      <c r="B47" s="3" t="inlineStr">
        <is>
          <t>Budget travaux 2026 : prix moyens par corps de métier au Maroc</t>
        </is>
      </c>
      <c r="C47" s="3" t="inlineStr">
        <is>
          <t>conseils/budget-travaux-2026-prix-moyens-par-corps-de-metier-au-maroc</t>
        </is>
      </c>
      <c r="D47" s="8" t="inlineStr">
        <is>
          <t>général</t>
        </is>
      </c>
      <c r="E47" s="3" t="inlineStr">
        <is>
          <t>prix travaux Maroc 2026</t>
        </is>
      </c>
      <c r="F47" s="3" t="inlineStr">
        <is>
          <t>tarif artisan Maroc 2026, grille prix travaux</t>
        </is>
      </c>
      <c r="G47" s="2" t="n">
        <v>1900</v>
      </c>
      <c r="H47" s="2" t="inlineStr">
        <is>
          <t>guide</t>
        </is>
      </c>
      <c r="I47" s="2" t="n">
        <v>30</v>
      </c>
      <c r="J47" s="2" t="inlineStr">
        <is>
          <t>Élevé (800-1200/mois)</t>
        </is>
      </c>
      <c r="K47" s="2" t="inlineStr">
        <is>
          <t>haute</t>
        </is>
      </c>
      <c r="L47" s="2" t="inlineStr">
        <is>
          <t>draft</t>
        </is>
      </c>
      <c r="M47" s="5" t="n">
        <v>46286</v>
      </c>
      <c r="N47" s="2" t="inlineStr">
        <is>
          <t>Sara (Redactrice SEO)</t>
        </is>
      </c>
      <c r="O47" s="3" t="inlineStr">
        <is>
          <t>Article pilier prix, mettre à jour chaque année</t>
        </is>
      </c>
    </row>
    <row r="48">
      <c r="A48" s="2" t="n">
        <v>47</v>
      </c>
      <c r="B48" s="3" t="inlineStr">
        <is>
          <t>Avis clients artisans : comment les vérifier avant de réserver</t>
        </is>
      </c>
      <c r="C48" s="3" t="inlineStr">
        <is>
          <t>conseils/avis-clients-artisans-comment-les-verifier-avant-de-reserver</t>
        </is>
      </c>
      <c r="D48" s="8" t="inlineStr">
        <is>
          <t>général</t>
        </is>
      </c>
      <c r="E48" s="3" t="inlineStr">
        <is>
          <t>avis artisan avant réservation</t>
        </is>
      </c>
      <c r="F48" s="3" t="inlineStr">
        <is>
          <t>vérifier avis artisan fiable, éviter arnaque artisan</t>
        </is>
      </c>
      <c r="G48" s="2" t="n">
        <v>1400</v>
      </c>
      <c r="H48" s="2" t="inlineStr">
        <is>
          <t>tips</t>
        </is>
      </c>
      <c r="I48" s="2" t="n">
        <v>16</v>
      </c>
      <c r="J48" s="2" t="inlineStr">
        <is>
          <t>Faible (150-300/mois)</t>
        </is>
      </c>
      <c r="K48" s="2" t="inlineStr">
        <is>
          <t>moyenne</t>
        </is>
      </c>
      <c r="L48" s="2" t="inlineStr">
        <is>
          <t>draft</t>
        </is>
      </c>
      <c r="M48" s="5" t="n">
        <v>46356</v>
      </c>
      <c r="N48" s="2" t="inlineStr">
        <is>
          <t>Amine (Redacteur)</t>
        </is>
      </c>
      <c r="O48" s="3" t="inlineStr"/>
    </row>
    <row r="49">
      <c r="A49" s="2" t="n">
        <v>48</v>
      </c>
      <c r="B49" s="3" t="inlineStr">
        <is>
          <t>Artisans à Tanger : annuaire et bons plans 2026</t>
        </is>
      </c>
      <c r="C49" s="3" t="inlineStr">
        <is>
          <t>conseils/artisans-a-tanger-annuaire-et-bons-plans-2026</t>
        </is>
      </c>
      <c r="D49" s="8" t="inlineStr">
        <is>
          <t>général</t>
        </is>
      </c>
      <c r="E49" s="3" t="inlineStr">
        <is>
          <t>artisan Tanger annuaire</t>
        </is>
      </c>
      <c r="F49" s="3" t="inlineStr">
        <is>
          <t>meilleur artisan Tanger, artisan pas cher Tanger</t>
        </is>
      </c>
      <c r="G49" s="2" t="n">
        <v>1300</v>
      </c>
      <c r="H49" s="2" t="inlineStr">
        <is>
          <t>guide</t>
        </is>
      </c>
      <c r="I49" s="2" t="n">
        <v>18</v>
      </c>
      <c r="J49" s="2" t="inlineStr">
        <is>
          <t>Moyen (250-450/mois)</t>
        </is>
      </c>
      <c r="K49" s="2" t="inlineStr">
        <is>
          <t>moyenne</t>
        </is>
      </c>
      <c r="L49" s="2" t="inlineStr">
        <is>
          <t>draft</t>
        </is>
      </c>
      <c r="M49" s="5" t="n">
        <v>46363</v>
      </c>
      <c r="N49" s="2" t="inlineStr">
        <is>
          <t>Sara (Redactrice SEO)</t>
        </is>
      </c>
      <c r="O49" s="3" t="inlineStr">
        <is>
          <t>SEO local, réutiliser template ville</t>
        </is>
      </c>
    </row>
    <row r="50">
      <c r="A50" s="2" t="n">
        <v>49</v>
      </c>
      <c r="B50" s="3" t="inlineStr">
        <is>
          <t>Comment obtenir un artisan disponible en urgence près de chez vous</t>
        </is>
      </c>
      <c r="C50" s="3" t="inlineStr">
        <is>
          <t>conseils/comment-obtenir-un-artisan-disponible-en-urgence-pres-de-chez-vous</t>
        </is>
      </c>
      <c r="D50" s="8" t="inlineStr">
        <is>
          <t>général</t>
        </is>
      </c>
      <c r="E50" s="3" t="inlineStr">
        <is>
          <t>artisan disponible urgence Maroc</t>
        </is>
      </c>
      <c r="F50" s="3" t="inlineStr">
        <is>
          <t>artisan urgent proche de moi, dépannage rapide Maroc</t>
        </is>
      </c>
      <c r="G50" s="2" t="n">
        <v>1400</v>
      </c>
      <c r="H50" s="2" t="inlineStr">
        <is>
          <t>guide</t>
        </is>
      </c>
      <c r="I50" s="2" t="n">
        <v>25</v>
      </c>
      <c r="J50" s="2" t="inlineStr">
        <is>
          <t>Élevé (600-900/mois)</t>
        </is>
      </c>
      <c r="K50" s="2" t="inlineStr">
        <is>
          <t>haute</t>
        </is>
      </c>
      <c r="L50" s="2" t="inlineStr">
        <is>
          <t>draft</t>
        </is>
      </c>
      <c r="M50" s="5" t="n">
        <v>46293</v>
      </c>
      <c r="N50" s="2" t="inlineStr">
        <is>
          <t>Amine (Redacteur)</t>
        </is>
      </c>
      <c r="O50" s="3" t="inlineStr">
        <is>
          <t>Fort lien avec fonctionnalité géolocalisation de l'app</t>
        </is>
      </c>
    </row>
    <row r="51">
      <c r="A51" s="2" t="n">
        <v>50</v>
      </c>
      <c r="B51" s="3" t="inlineStr">
        <is>
          <t>FixNow vs annuaire classique : pourquoi choisir une application</t>
        </is>
      </c>
      <c r="C51" s="3" t="inlineStr">
        <is>
          <t>conseils/fixnow-vs-annuaire-classique-pourquoi-choisir-une-application</t>
        </is>
      </c>
      <c r="D51" s="8" t="inlineStr">
        <is>
          <t>général</t>
        </is>
      </c>
      <c r="E51" s="3" t="inlineStr">
        <is>
          <t>application artisan Maroc avis</t>
        </is>
      </c>
      <c r="F51" s="3" t="inlineStr">
        <is>
          <t>FixNow avis, meilleure app artisan Maroc</t>
        </is>
      </c>
      <c r="G51" s="2" t="n">
        <v>1500</v>
      </c>
      <c r="H51" s="2" t="inlineStr">
        <is>
          <t>produit</t>
        </is>
      </c>
      <c r="I51" s="2" t="n">
        <v>15</v>
      </c>
      <c r="J51" s="2" t="inlineStr">
        <is>
          <t>Faible (100-250/mois)</t>
        </is>
      </c>
      <c r="K51" s="2" t="inlineStr">
        <is>
          <t>moyenne</t>
        </is>
      </c>
      <c r="L51" s="2" t="inlineStr">
        <is>
          <t>draft</t>
        </is>
      </c>
      <c r="M51" s="5" t="n">
        <v>46363</v>
      </c>
      <c r="N51" s="2" t="inlineStr">
        <is>
          <t>Sara (Redactrice SEO)</t>
        </is>
      </c>
      <c r="O51" s="3" t="inlineStr">
        <is>
          <t>Contenu branding + comparatif, pousser témoignages clients</t>
        </is>
      </c>
    </row>
  </sheetData>
  <conditionalFormatting sqref="K2:K51">
    <cfRule type="cellIs" priority="1" operator="equal" dxfId="0">
      <formula>"haute"</formula>
    </cfRule>
    <cfRule type="cellIs" priority="2" operator="equal" dxfId="1">
      <formula>"moyenne"</formula>
    </cfRule>
    <cfRule type="cellIs" priority="3" operator="equal" dxfId="2">
      <formula>"basse"</formula>
    </cfRule>
  </conditionalFormatting>
  <conditionalFormatting sqref="L2:L51">
    <cfRule type="cellIs" priority="4" operator="equal" dxfId="3">
      <formula>"draft"</formula>
    </cfRule>
    <cfRule type="cellIs" priority="5" operator="equal" dxfId="4">
      <formula>"writing"</formula>
    </cfRule>
    <cfRule type="cellIs" priority="6" operator="equal" dxfId="5">
      <formula>"review"</formula>
    </cfRule>
    <cfRule type="cellIs" priority="7" operator="equal" dxfId="6">
      <formula>"published"</formula>
    </cfRule>
  </conditionalFormatting>
  <dataValidations count="4">
    <dataValidation sqref="D2:D51" showDropDown="0" showInputMessage="0" showErrorMessage="0" allowBlank="0" type="list">
      <formula1>"plomberie,électricité,menuiserie,général"</formula1>
    </dataValidation>
    <dataValidation sqref="H2:H51" showDropDown="0" showInputMessage="0" showErrorMessage="0" allowBlank="0" type="list">
      <formula1>"how-to,tips,guide,produit"</formula1>
    </dataValidation>
    <dataValidation sqref="K2:K51" showDropDown="0" showInputMessage="0" showErrorMessage="0" allowBlank="0" type="list">
      <formula1>"haute,moyenne,basse"</formula1>
    </dataValidation>
    <dataValidation sqref="L2:L51" showDropDown="0" showInputMessage="0" showErrorMessage="0" allowBlank="0" type="list">
      <formula1>"draft,writing,review,published"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" customWidth="1" min="3" max="3"/>
    <col width="16" customWidth="1" min="4" max="4"/>
    <col width="12" customWidth="1" min="5" max="5"/>
    <col width="3" customWidth="1" min="6" max="6"/>
    <col width="14" customWidth="1" min="7" max="7"/>
    <col width="12" customWidth="1" min="8" max="8"/>
  </cols>
  <sheetData>
    <row r="1">
      <c r="A1" s="9" t="inlineStr">
        <is>
          <t>Statistiques – Plan éditorial Blog FixNow</t>
        </is>
      </c>
    </row>
    <row r="3">
      <c r="A3" s="10" t="inlineStr">
        <is>
          <t>Répartition par catégorie</t>
        </is>
      </c>
      <c r="D3" s="10" t="inlineStr">
        <is>
          <t>Répartition par priorité</t>
        </is>
      </c>
      <c r="G3" s="10" t="inlineStr">
        <is>
          <t>Répartition par statut</t>
        </is>
      </c>
    </row>
    <row r="4">
      <c r="A4" s="11" t="inlineStr">
        <is>
          <t>Catégorie</t>
        </is>
      </c>
      <c r="B4" s="11" t="inlineStr">
        <is>
          <t>Nb articles</t>
        </is>
      </c>
      <c r="D4" s="11" t="inlineStr">
        <is>
          <t>Priority</t>
        </is>
      </c>
      <c r="E4" s="11" t="inlineStr">
        <is>
          <t>Nb articles</t>
        </is>
      </c>
      <c r="G4" s="11" t="inlineStr">
        <is>
          <t>Status</t>
        </is>
      </c>
      <c r="H4" s="11" t="inlineStr">
        <is>
          <t>Nb articles</t>
        </is>
      </c>
    </row>
    <row r="5">
      <c r="A5" s="2" t="inlineStr">
        <is>
          <t>plomberie</t>
        </is>
      </c>
      <c r="B5" s="2">
        <f>COUNTIF(Articles!$D$2:$D$51,A5)</f>
        <v/>
      </c>
      <c r="D5" s="2" t="inlineStr">
        <is>
          <t>haute</t>
        </is>
      </c>
      <c r="E5" s="2">
        <f>COUNTIF(Articles!$K$2:$K$51,D5)</f>
        <v/>
      </c>
      <c r="G5" s="2" t="inlineStr">
        <is>
          <t>draft</t>
        </is>
      </c>
      <c r="H5" s="2">
        <f>COUNTIF(Articles!$L$2:$L$51,G5)</f>
        <v/>
      </c>
    </row>
    <row r="6">
      <c r="A6" s="2" t="inlineStr">
        <is>
          <t>électricité</t>
        </is>
      </c>
      <c r="B6" s="2">
        <f>COUNTIF(Articles!$D$2:$D$51,A6)</f>
        <v/>
      </c>
      <c r="D6" s="2" t="inlineStr">
        <is>
          <t>moyenne</t>
        </is>
      </c>
      <c r="E6" s="2">
        <f>COUNTIF(Articles!$K$2:$K$51,D6)</f>
        <v/>
      </c>
      <c r="G6" s="2" t="inlineStr">
        <is>
          <t>writing</t>
        </is>
      </c>
      <c r="H6" s="2">
        <f>COUNTIF(Articles!$L$2:$L$51,G6)</f>
        <v/>
      </c>
    </row>
    <row r="7">
      <c r="A7" s="2" t="inlineStr">
        <is>
          <t>menuiserie</t>
        </is>
      </c>
      <c r="B7" s="2">
        <f>COUNTIF(Articles!$D$2:$D$51,A7)</f>
        <v/>
      </c>
      <c r="D7" s="2" t="inlineStr">
        <is>
          <t>basse</t>
        </is>
      </c>
      <c r="E7" s="2">
        <f>COUNTIF(Articles!$K$2:$K$51,D7)</f>
        <v/>
      </c>
      <c r="G7" s="2" t="inlineStr">
        <is>
          <t>review</t>
        </is>
      </c>
      <c r="H7" s="2">
        <f>COUNTIF(Articles!$L$2:$L$51,G7)</f>
        <v/>
      </c>
    </row>
    <row r="8">
      <c r="A8" s="2" t="inlineStr">
        <is>
          <t>général</t>
        </is>
      </c>
      <c r="B8" s="2">
        <f>COUNTIF(Articles!$D$2:$D$51,A8)</f>
        <v/>
      </c>
      <c r="D8" s="2" t="n"/>
      <c r="E8" s="2" t="n"/>
      <c r="G8" s="2" t="inlineStr">
        <is>
          <t>published</t>
        </is>
      </c>
      <c r="H8" s="2">
        <f>COUNTIF(Articles!$L$2:$L$51,G8)</f>
        <v/>
      </c>
    </row>
    <row r="9">
      <c r="A9" s="11" t="inlineStr">
        <is>
          <t>Total</t>
        </is>
      </c>
      <c r="B9" s="11">
        <f>SUM(B5:B8)</f>
        <v/>
      </c>
    </row>
    <row r="12">
      <c r="A12" s="10" t="inlineStr">
        <is>
          <t>Répartition par type de contenu</t>
        </is>
      </c>
      <c r="D12" s="10" t="inlineStr">
        <is>
          <t>Indicateurs clés</t>
        </is>
      </c>
    </row>
    <row r="13">
      <c r="A13" s="11" t="inlineStr">
        <is>
          <t>Type contenu</t>
        </is>
      </c>
      <c r="B13" s="11" t="inlineStr">
        <is>
          <t>Nb articles</t>
        </is>
      </c>
      <c r="D13" s="11" t="inlineStr">
        <is>
          <t>Total articles</t>
        </is>
      </c>
      <c r="E13" s="2">
        <f>COUNTA(Articles!$A$2:$A$51)</f>
        <v/>
      </c>
    </row>
    <row r="14">
      <c r="A14" s="2" t="inlineStr">
        <is>
          <t>how-to</t>
        </is>
      </c>
      <c r="B14" s="2">
        <f>COUNTIF(Articles!$H$2:$H$51,A14)</f>
        <v/>
      </c>
      <c r="D14" s="11" t="inlineStr">
        <is>
          <t>Longueur moyenne (mots)</t>
        </is>
      </c>
      <c r="E14" s="2">
        <f>ROUND(AVERAGE(Articles!$G$2:$G$51),0)</f>
        <v/>
      </c>
    </row>
    <row r="15">
      <c r="A15" s="2" t="inlineStr">
        <is>
          <t>tips</t>
        </is>
      </c>
      <c r="B15" s="2">
        <f>COUNTIF(Articles!$H$2:$H$51,A15)</f>
        <v/>
      </c>
      <c r="D15" s="11" t="inlineStr">
        <is>
          <t>SEO Difficulty moyenne</t>
        </is>
      </c>
      <c r="E15" s="2">
        <f>ROUND(AVERAGE(Articles!$I$2:$I$51),0)</f>
        <v/>
      </c>
    </row>
    <row r="16">
      <c r="A16" s="2" t="inlineStr">
        <is>
          <t>guide</t>
        </is>
      </c>
      <c r="B16" s="2">
        <f>COUNTIF(Articles!$H$2:$H$51,A16)</f>
        <v/>
      </c>
      <c r="D16" s="11" t="inlineStr">
        <is>
          <t>Articles priorité haute</t>
        </is>
      </c>
      <c r="E16" s="2">
        <f>COUNTIF(Articles!$K$2:$K$51,"haute")</f>
        <v/>
      </c>
    </row>
    <row r="17">
      <c r="A17" s="2" t="inlineStr">
        <is>
          <t>produit</t>
        </is>
      </c>
      <c r="B17" s="2">
        <f>COUNTIF(Articles!$H$2:$H$51,A17)</f>
        <v/>
      </c>
      <c r="D17" s="11" t="inlineStr">
        <is>
          <t>Articles publiés</t>
        </is>
      </c>
      <c r="E17" s="2">
        <f>COUNTIF(Articles!$L$2:$L$51,"published")</f>
        <v/>
      </c>
    </row>
    <row r="18">
      <c r="A18" s="2" t="n"/>
      <c r="B18" s="2" t="n"/>
      <c r="D18" s="11" t="inlineStr">
        <is>
          <t>% articles publiés</t>
        </is>
      </c>
      <c r="E18" s="2">
        <f>ROUND(D18/D14*100,0)&amp;"%"</f>
        <v/>
      </c>
    </row>
  </sheetData>
  <mergeCells count="6">
    <mergeCell ref="A1:D1"/>
    <mergeCell ref="D3:E3"/>
    <mergeCell ref="A3:B3"/>
    <mergeCell ref="G3:H3"/>
    <mergeCell ref="D12:E12"/>
    <mergeCell ref="A12:B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9" t="inlineStr">
        <is>
          <t>Stratégie SEO – Blog FixNow</t>
        </is>
      </c>
    </row>
    <row r="3">
      <c r="B3" s="12" t="inlineStr">
        <is>
          <t>1. Ciblage mots-clés</t>
        </is>
      </c>
    </row>
    <row r="4">
      <c r="B4" s="13" t="inlineStr">
        <is>
          <t>• Privilégier les mots-clés longue traîne (ex. « déboucher tuyau Fès » plutôt que « tuyau »).</t>
        </is>
      </c>
    </row>
    <row r="5">
      <c r="B5" s="13" t="inlineStr">
        <is>
          <t>• Combiner intention + métier + ville pour capter la recherche locale (Casablanca, Rabat, Fès, Marrakech, Tanger, Agadir).</t>
        </is>
      </c>
    </row>
    <row r="6">
      <c r="B6" s="13" t="inlineStr">
        <is>
          <t>• 1 target keyword principal + 2-3 mots-clés secondaires par article (voir feuille Articles).</t>
        </is>
      </c>
    </row>
    <row r="8">
      <c r="B8" s="12" t="inlineStr">
        <is>
          <t>2. Structure de contenu</t>
        </is>
      </c>
    </row>
    <row r="9">
      <c r="B9" s="13" t="inlineStr">
        <is>
          <t>• 1500 mots minimum par article (guides piliers : 1800-2000 mots).</t>
        </is>
      </c>
    </row>
    <row r="10">
      <c r="B10" s="13" t="inlineStr">
        <is>
          <t>• Structure H1 unique, puis H2/H3 hiérarchisés reprenant les variantes du mot-clé.</t>
        </is>
      </c>
    </row>
    <row r="11">
      <c r="B11" s="13" t="inlineStr">
        <is>
          <t>• Introduction avec réponse directe (featured snippet), FAQ en fin d'article recommandée.</t>
        </is>
      </c>
    </row>
    <row r="13">
      <c r="B13" s="12" t="inlineStr">
        <is>
          <t>3. Maillage interne</t>
        </is>
      </c>
    </row>
    <row r="14">
      <c r="B14" s="13" t="inlineStr">
        <is>
          <t>• Chaque article doit renvoyer vers 2-3 articles connexes du blog.</t>
        </is>
      </c>
    </row>
    <row r="15">
      <c r="B15" s="13" t="inlineStr">
        <is>
          <t>• Lien systématique vers la page de réservation / recherche d'artisan de l'app FixNow.</t>
        </is>
      </c>
    </row>
    <row r="16">
      <c r="B16" s="13" t="inlineStr">
        <is>
          <t>• Les articles « pilier » (budget travaux, artisans par ville) centralisent les liens des articles satellites.</t>
        </is>
      </c>
    </row>
    <row r="18">
      <c r="B18" s="12" t="inlineStr">
        <is>
          <t>4. Priorisation &amp; calendrier</t>
        </is>
      </c>
    </row>
    <row r="19">
      <c r="B19" s="13" t="inlineStr">
        <is>
          <t>• Priorité haute = fort volume de recherche + forte intention de réservation (urgence, prix, ville).</t>
        </is>
      </c>
    </row>
    <row r="20">
      <c r="B20" s="13" t="inlineStr">
        <is>
          <t>• Rythme de publication cible : 2 articles / semaine, priorité haute publiée en premier.</t>
        </is>
      </c>
    </row>
    <row r="21">
      <c r="B21" s="13" t="inlineStr">
        <is>
          <t>• Réviser le calendrier chaque trimestre selon les performances Search Console.</t>
        </is>
      </c>
    </row>
    <row r="23">
      <c r="B23" s="12" t="inlineStr">
        <is>
          <t>5. Suivi &amp; optimisation</t>
        </is>
      </c>
    </row>
    <row r="24">
      <c r="B24" s="13" t="inlineStr">
        <is>
          <t>• Suivre position, CTR et trafic par article via Google Search Console tous les mois.</t>
        </is>
      </c>
    </row>
    <row r="25">
      <c r="B25" s="13" t="inlineStr">
        <is>
          <t>• Mettre à jour les articles « prix / tarifs » chaque année (contenu sensible à la fraîcheur).</t>
        </is>
      </c>
    </row>
    <row r="26">
      <c r="B26" s="13" t="inlineStr">
        <is>
          <t>• Dupliquer les articles locaux performants sur les autres villes couvertes par FixNow.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2026-07-26T14:29:42Z</dcterms:created>
  <dcterms:modified xmlns:dcterms="http://purl.org/dc/terms/" xmlns:xsi="http://www.w3.org/2001/XMLSchema-instance" xsi:type="dcterms:W3CDTF">2026-07-26T14:29:42Z</dcterms:modified>
</cp:coreProperties>
</file>